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b2a74f9c6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3b69376ec9944f8"/>
    <x:sheet xmlns:r="http://schemas.openxmlformats.org/officeDocument/2006/relationships" name="Контроль" sheetId="2" r:id="R13d1777206974208"/>
    <x:sheet xmlns:r="http://schemas.openxmlformats.org/officeDocument/2006/relationships" name="Как пользоваться" sheetId="3" r:id="Rbf67f10380cf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dd.mm.yyyy"/>
    <x:numFmt numFmtId="202" formatCode="0.0"/>
    <x:numFmt numFmtId="203" formatCode="+0%;-0%;0%"/>
  </x:numFmts>
  <x:fonts count="30">
    <x:font>
      <x:sz val="11"/>
      <x:name val="Carlito"/>
    </x:font>
    <x:font>
      <x:b/>
      <x:sz val="22"/>
      <x:color rgb="FFFFFFFF"/>
      <x:name val="Carlito"/>
    </x:font>
    <x:font>
      <x:sz val="11"/>
      <x:color rgb="FFCBD5E1"/>
      <x:name val="Carlito"/>
    </x:font>
    <x:font>
      <x:b/>
      <x:sz val="10"/>
      <x:color rgb="FF64748B"/>
      <x:name val="Carlito"/>
    </x:font>
    <x:font>
      <x:b/>
      <x:sz val="19"/>
      <x:color rgb="FF111827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4"/>
      <x:color rgb="FF071024"/>
      <x:name val="Carlito"/>
    </x:font>
    <x:font>
      <x:sz val="11"/>
      <x:color rgb="FF64748B"/>
      <x:name val="Carlito"/>
    </x:font>
    <x:font>
      <x:b/>
      <x:sz val="22"/>
      <x:color rgb="FFFFFFFF"/>
      <x:name val="Arial"/>
    </x:font>
    <x:font>
      <x:sz val="11"/>
      <x:color rgb="FFCBD5E1"/>
      <x:name val="Arial"/>
    </x:font>
    <x:font>
      <x:sz val="11"/>
      <x:name val="Arial"/>
    </x:font>
    <x:font>
      <x:b/>
      <x:sz val="10"/>
      <x:color rgb="FF64748B"/>
      <x:name val="Arial"/>
    </x:font>
    <x:font>
      <x:b/>
      <x:sz val="19"/>
      <x:color rgb="FF111827"/>
      <x:name val="Arial"/>
    </x:font>
    <x:font>
      <x:b/>
      <x:sz val="11"/>
      <x:color rgb="FFFFFFFF"/>
      <x:name val="Arial"/>
    </x:font>
    <x:font>
      <x:sz val="11"/>
      <x:color rgb="FF111827"/>
      <x:name val="Arial"/>
    </x:font>
    <x:font>
      <x:b/>
      <x:sz val="14"/>
      <x:color rgb="FF071024"/>
      <x:name val="Arial"/>
    </x:font>
    <x:font>
      <x:sz val="11"/>
      <x:color rgb="FF64748B"/>
      <x:name val="Arial"/>
    </x:font>
    <x:font>
      <x:b/>
      <x:sz val="20"/>
      <x:color rgb="FFFFFFFF"/>
      <x:name val="Carlito"/>
    </x:font>
    <x:font>
      <x:sz val="11"/>
      <x:color rgb="FF9A3412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20"/>
      <x:color rgb="FFFFFFFF"/>
      <x:name val="Arial"/>
    </x:font>
    <x:font>
      <x:sz val="11"/>
      <x:color rgb="FF9A3412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4"/>
      <x:color rgb="FFFFFFFF"/>
      <x:name val="Carlito"/>
    </x:font>
    <x:font>
      <x:b/>
      <x:sz val="13"/>
      <x:color rgb="FF9A3412"/>
      <x:name val="Carlito"/>
    </x:font>
    <x:font>
      <x:b/>
      <x:sz val="14"/>
      <x:color rgb="FFFFFFFF"/>
      <x:name val="Arial"/>
    </x:font>
    <x:font>
      <x:b/>
      <x:sz val="13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71024"/>
      </x:patternFill>
    </x:fill>
    <x:fill>
      <x:patternFill patternType="solid">
        <x:fgColor rgb="FFFFF4EA"/>
      </x:patternFill>
    </x:fill>
    <x:fill>
      <x:patternFill patternType="solid">
        <x:fgColor rgb="FFFFFFFF"/>
      </x:patternFill>
    </x:fill>
    <x:fill>
      <x:patternFill patternType="solid">
        <x:fgColor rgb="FFFF6B18"/>
      </x:patternFill>
    </x:fill>
    <x:fill>
      <x:patternFill patternType="solid">
        <x:fgColor rgb="FFF5F7FA"/>
      </x:patternFill>
    </x:fill>
    <x:fill>
      <x:patternFill patternType="solid">
        <x:fgColor rgb="FFFFFDF5"/>
      </x:patternFill>
    </x:fill>
  </x:fills>
  <x:borders count="7">
    <x:border/>
    <x:border>
      <x:left style="thin">
        <x:color rgb="FFFED7AA"/>
      </x:left>
      <x:top style="thin">
        <x:color rgb="FFFED7AA"/>
      </x:top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4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200" fontId="6" fillId="4" borderId="4" xfId="0" applyNumberFormat="1" applyFont="1" applyFill="1" applyBorder="1"/>
    <x:xf numFmtId="200" fontId="6" fillId="4" borderId="5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0" fontId="12" fillId="3" borderId="2" xfId="0" applyNumberFormat="1" applyFont="1" applyFill="1" applyBorder="1" applyAlignment="1">
      <x:alignment horizontal="center"/>
    </x:xf>
    <x:xf numFmtId="0" fontId="12" fillId="3" borderId="3" xfId="0" applyNumberFormat="1" applyFont="1" applyFill="1" applyBorder="1" applyAlignment="1">
      <x:alignment horizontal="center"/>
    </x:xf>
    <x:xf numFmtId="0" fontId="13" fillId="4" borderId="1" xfId="0" applyNumberFormat="1" applyFont="1" applyFill="1" applyBorder="1" applyAlignment="1">
      <x:alignment horizontal="center" vertical="center"/>
    </x:xf>
    <x:xf numFmtId="0" fontId="13" fillId="4" borderId="2" xfId="0" applyNumberFormat="1" applyFont="1" applyFill="1" applyBorder="1" applyAlignment="1">
      <x:alignment horizontal="center" vertical="center"/>
    </x:xf>
    <x:xf numFmtId="200" fontId="13" fillId="4" borderId="2" xfId="0" applyNumberFormat="1" applyFont="1" applyFill="1" applyBorder="1" applyAlignment="1">
      <x:alignment horizontal="center" vertical="center"/>
    </x:xf>
    <x:xf numFmtId="0" fontId="13" fillId="4" borderId="3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 applyAlignment="1">
      <x:alignment vertical="center"/>
    </x:xf>
    <x:xf numFmtId="0" fontId="15" fillId="4" borderId="4" xfId="0" applyNumberFormat="1" applyFont="1" applyFill="1" applyBorder="1"/>
    <x:xf numFmtId="0" fontId="15" fillId="4" borderId="4" xfId="0" applyNumberFormat="1" applyFont="1" applyFill="1" applyBorder="1" applyAlignment="1">
      <x:alignment horizontal="center"/>
    </x:xf>
    <x:xf numFmtId="200" fontId="15" fillId="4" borderId="4" xfId="0" applyNumberFormat="1" applyFont="1" applyFill="1" applyBorder="1"/>
    <x:xf numFmtId="0" fontId="15" fillId="4" borderId="5" xfId="0" applyNumberFormat="1" applyFont="1" applyFill="1" applyBorder="1"/>
    <x:xf numFmtId="0" fontId="15" fillId="4" borderId="5" xfId="0" applyNumberFormat="1" applyFont="1" applyFill="1" applyBorder="1" applyAlignment="1">
      <x:alignment horizontal="center"/>
    </x:xf>
    <x:xf numFmtId="200" fontId="15" fillId="4" borderId="5" xfId="0" applyNumberFormat="1" applyFont="1" applyFill="1" applyBorder="1"/>
    <x:xf numFmtId="0" fontId="16" fillId="6" borderId="0" xfId="0" applyNumberFormat="1" applyFont="1" applyFill="1" applyBorder="1"/>
    <x:xf numFmtId="0" fontId="17" fillId="6" borderId="0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/>
    <x:xf numFmtId="0" fontId="19" fillId="3" borderId="0" xfId="0" applyNumberFormat="1" applyFont="1" applyFill="1" applyBorder="1" applyAlignment="1">
      <x:alignment wrapText="1"/>
    </x:xf>
    <x:xf numFmtId="0" fontId="19" fillId="3" borderId="0" xfId="0" applyNumberFormat="1" applyFont="1" applyFill="1" applyBorder="1" applyAlignment="1">
      <x:alignment vertical="center" wrapText="1"/>
    </x:xf>
    <x:xf numFmtId="0" fontId="20" fillId="5" borderId="0" xfId="0" applyNumberFormat="1" applyFont="1" applyFill="1" applyBorder="1"/>
    <x:xf numFmtId="0" fontId="20" fillId="5" borderId="0" xfId="0" applyNumberFormat="1" applyFont="1" applyFill="1" applyBorder="1" applyAlignment="1">
      <x:alignment wrapText="1"/>
    </x:xf>
    <x:xf numFmtId="0" fontId="20" fillId="5" borderId="0" xfId="0" applyNumberFormat="1" applyFont="1" applyFill="1" applyBorder="1" applyAlignment="1">
      <x:alignment horizontal="center" wrapText="1"/>
    </x:xf>
    <x:xf numFmtId="0" fontId="20" fillId="5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/>
    <x:xf numFmtId="0" fontId="21" fillId="0" borderId="4" xfId="0" applyNumberFormat="1" applyFont="1" applyFill="1" applyBorder="1"/>
    <x:xf numFmtId="0" fontId="21" fillId="0" borderId="5" xfId="0" applyNumberFormat="1" applyFont="1" applyFill="1" applyBorder="1"/>
    <x:xf numFmtId="0" fontId="21" fillId="0" borderId="6" xfId="0" applyNumberFormat="1" applyFont="1" applyFill="1" applyBorder="1"/>
    <x:xf numFmtId="0" fontId="21" fillId="0" borderId="4" xfId="0" applyNumberFormat="1" applyFont="1" applyFill="1" applyBorder="1" applyAlignment="1">
      <x:alignment wrapText="1"/>
    </x:xf>
    <x:xf numFmtId="0" fontId="21" fillId="0" borderId="5" xfId="0" applyNumberFormat="1" applyFont="1" applyFill="1" applyBorder="1" applyAlignment="1">
      <x:alignment wrapText="1"/>
    </x:xf>
    <x:xf numFmtId="0" fontId="21" fillId="0" borderId="6" xfId="0" applyNumberFormat="1" applyFont="1" applyFill="1" applyBorder="1" applyAlignment="1">
      <x:alignment wrapText="1"/>
    </x:xf>
    <x:xf numFmtId="0" fontId="21" fillId="0" borderId="4" xfId="0" applyNumberFormat="1" applyFont="1" applyFill="1" applyBorder="1" applyAlignment="1">
      <x:alignment vertical="top" wrapText="1"/>
    </x:xf>
    <x:xf numFmtId="0" fontId="21" fillId="0" borderId="5" xfId="0" applyNumberFormat="1" applyFont="1" applyFill="1" applyBorder="1" applyAlignment="1">
      <x:alignment vertical="top" wrapText="1"/>
    </x:xf>
    <x:xf numFmtId="0" fontId="21" fillId="0" borderId="6" xfId="0" applyNumberFormat="1" applyFont="1" applyFill="1" applyBorder="1" applyAlignment="1">
      <x:alignment vertical="top" wrapText="1"/>
    </x:xf>
    <x:xf numFmtId="0" fontId="21" fillId="7" borderId="4" xfId="0" applyNumberFormat="1" applyFont="1" applyFill="1" applyBorder="1" applyAlignment="1">
      <x:alignment vertical="top" wrapText="1"/>
    </x:xf>
    <x:xf numFmtId="0" fontId="21" fillId="7" borderId="5" xfId="0" applyNumberFormat="1" applyFont="1" applyFill="1" applyBorder="1" applyAlignment="1">
      <x:alignment vertical="top" wrapText="1"/>
    </x:xf>
    <x:xf numFmtId="0" fontId="21" fillId="7" borderId="6" xfId="0" applyNumberFormat="1" applyFont="1" applyFill="1" applyBorder="1" applyAlignment="1">
      <x:alignment vertical="top" wrapText="1"/>
    </x:xf>
    <x:xf numFmtId="0" fontId="21" fillId="4" borderId="4" xfId="0" applyNumberFormat="1" applyFont="1" applyFill="1" applyBorder="1" applyAlignment="1">
      <x:alignment vertical="top" wrapText="1"/>
    </x:xf>
    <x:xf numFmtId="0" fontId="21" fillId="4" borderId="5" xfId="0" applyNumberFormat="1" applyFont="1" applyFill="1" applyBorder="1" applyAlignment="1">
      <x:alignment vertical="top" wrapText="1"/>
    </x:xf>
    <x:xf numFmtId="0" fontId="21" fillId="4" borderId="6" xfId="0" applyNumberFormat="1" applyFont="1" applyFill="1" applyBorder="1" applyAlignment="1">
      <x:alignment vertical="top" wrapText="1"/>
    </x:xf>
    <x:xf numFmtId="201" fontId="21" fillId="7" borderId="4" xfId="0" applyNumberFormat="1" applyFont="1" applyFill="1" applyBorder="1" applyAlignment="1">
      <x:alignment vertical="top" wrapText="1"/>
    </x:xf>
    <x:xf numFmtId="201" fontId="21" fillId="7" borderId="5" xfId="0" applyNumberFormat="1" applyFont="1" applyFill="1" applyBorder="1" applyAlignment="1">
      <x:alignment vertical="top" wrapText="1"/>
    </x:xf>
    <x:xf numFmtId="201" fontId="21" fillId="7" borderId="6" xfId="0" applyNumberFormat="1" applyFont="1" applyFill="1" applyBorder="1" applyAlignment="1">
      <x:alignment vertical="top" wrapText="1"/>
    </x:xf>
    <x:xf numFmtId="202" fontId="21" fillId="4" borderId="4" xfId="0" applyNumberFormat="1" applyFont="1" applyFill="1" applyBorder="1" applyAlignment="1">
      <x:alignment vertical="top" wrapText="1"/>
    </x:xf>
    <x:xf numFmtId="202" fontId="21" fillId="4" borderId="5" xfId="0" applyNumberFormat="1" applyFont="1" applyFill="1" applyBorder="1" applyAlignment="1">
      <x:alignment vertical="top" wrapText="1"/>
    </x:xf>
    <x:xf numFmtId="202" fontId="21" fillId="4" borderId="6" xfId="0" applyNumberFormat="1" applyFont="1" applyFill="1" applyBorder="1" applyAlignment="1">
      <x:alignment vertical="top" wrapText="1"/>
    </x:xf>
    <x:xf numFmtId="203" fontId="21" fillId="4" borderId="4" xfId="0" applyNumberFormat="1" applyFont="1" applyFill="1" applyBorder="1" applyAlignment="1">
      <x:alignment vertical="top" wrapText="1"/>
    </x:xf>
    <x:xf numFmtId="203" fontId="21" fillId="4" borderId="5" xfId="0" applyNumberFormat="1" applyFont="1" applyFill="1" applyBorder="1" applyAlignment="1">
      <x:alignment vertical="top" wrapText="1"/>
    </x:xf>
    <x:xf numFmtId="203" fontId="21" fillId="4" borderId="6" xfId="0" applyNumberFormat="1" applyFont="1" applyFill="1" applyBorder="1" applyAlignment="1">
      <x:alignment vertical="top" wrapText="1"/>
    </x:xf>
    <x:xf numFmtId="0" fontId="22" fillId="2" borderId="0" xfId="0" applyNumberFormat="1" applyFont="1" applyFill="1" applyBorder="1" applyAlignment="1">
      <x:alignment vertical="center"/>
    </x:xf>
    <x:xf numFmtId="0" fontId="23" fillId="3" borderId="0" xfId="0" applyNumberFormat="1" applyFont="1" applyFill="1" applyBorder="1" applyAlignment="1">
      <x:alignment vertical="center" wrapText="1"/>
    </x:xf>
    <x:xf numFmtId="0" fontId="24" fillId="5" borderId="0" xfId="0" applyNumberFormat="1" applyFont="1" applyFill="1" applyBorder="1" applyAlignment="1">
      <x:alignment horizontal="center" vertical="center" wrapText="1"/>
    </x:xf>
    <x:xf numFmtId="0" fontId="25" fillId="7" borderId="4" xfId="0" applyNumberFormat="1" applyFont="1" applyFill="1" applyBorder="1" applyAlignment="1">
      <x:alignment vertical="top" wrapText="1"/>
    </x:xf>
    <x:xf numFmtId="201" fontId="25" fillId="7" borderId="4" xfId="0" applyNumberFormat="1" applyFont="1" applyFill="1" applyBorder="1" applyAlignment="1">
      <x:alignment vertical="top" wrapText="1"/>
    </x:xf>
    <x:xf numFmtId="0" fontId="25" fillId="4" borderId="4" xfId="0" applyNumberFormat="1" applyFont="1" applyFill="1" applyBorder="1" applyAlignment="1">
      <x:alignment vertical="top" wrapText="1"/>
    </x:xf>
    <x:xf numFmtId="202" fontId="25" fillId="4" borderId="4" xfId="0" applyNumberFormat="1" applyFont="1" applyFill="1" applyBorder="1" applyAlignment="1">
      <x:alignment vertical="top" wrapText="1"/>
    </x:xf>
    <x:xf numFmtId="203" fontId="25" fillId="4" borderId="4" xfId="0" applyNumberFormat="1" applyFont="1" applyFill="1" applyBorder="1" applyAlignment="1">
      <x:alignment vertical="top" wrapText="1"/>
    </x:xf>
    <x:xf numFmtId="0" fontId="25" fillId="7" borderId="5" xfId="0" applyNumberFormat="1" applyFont="1" applyFill="1" applyBorder="1" applyAlignment="1">
      <x:alignment vertical="top" wrapText="1"/>
    </x:xf>
    <x:xf numFmtId="201" fontId="25" fillId="7" borderId="5" xfId="0" applyNumberFormat="1" applyFont="1" applyFill="1" applyBorder="1" applyAlignment="1">
      <x:alignment vertical="top" wrapText="1"/>
    </x:xf>
    <x:xf numFmtId="0" fontId="25" fillId="4" borderId="5" xfId="0" applyNumberFormat="1" applyFont="1" applyFill="1" applyBorder="1" applyAlignment="1">
      <x:alignment vertical="top" wrapText="1"/>
    </x:xf>
    <x:xf numFmtId="202" fontId="25" fillId="4" borderId="5" xfId="0" applyNumberFormat="1" applyFont="1" applyFill="1" applyBorder="1" applyAlignment="1">
      <x:alignment vertical="top" wrapText="1"/>
    </x:xf>
    <x:xf numFmtId="203" fontId="25" fillId="4" borderId="5" xfId="0" applyNumberFormat="1" applyFont="1" applyFill="1" applyBorder="1" applyAlignment="1">
      <x:alignment vertical="top" wrapText="1"/>
    </x:xf>
    <x:xf numFmtId="0" fontId="25" fillId="7" borderId="6" xfId="0" applyNumberFormat="1" applyFont="1" applyFill="1" applyBorder="1" applyAlignment="1">
      <x:alignment vertical="top" wrapText="1"/>
    </x:xf>
    <x:xf numFmtId="201" fontId="25" fillId="7" borderId="6" xfId="0" applyNumberFormat="1" applyFont="1" applyFill="1" applyBorder="1" applyAlignment="1">
      <x:alignment vertical="top" wrapText="1"/>
    </x:xf>
    <x:xf numFmtId="0" fontId="25" fillId="4" borderId="6" xfId="0" applyNumberFormat="1" applyFont="1" applyFill="1" applyBorder="1" applyAlignment="1">
      <x:alignment vertical="top" wrapText="1"/>
    </x:xf>
    <x:xf numFmtId="202" fontId="25" fillId="4" borderId="6" xfId="0" applyNumberFormat="1" applyFont="1" applyFill="1" applyBorder="1" applyAlignment="1">
      <x:alignment vertical="top" wrapText="1"/>
    </x:xf>
    <x:xf numFmtId="203" fontId="25" fillId="4" borderId="6" xfId="0" applyNumberFormat="1" applyFont="1" applyFill="1" applyBorder="1" applyAlignment="1">
      <x:alignment vertical="top" wrapText="1"/>
    </x:xf>
    <x:xf numFmtId="0" fontId="26" fillId="5" borderId="0" xfId="0" applyNumberFormat="1" applyFont="1" applyFill="1" applyBorder="1"/>
    <x:xf numFmtId="0" fontId="26" fillId="5" borderId="0" xfId="0" applyNumberFormat="1" applyFont="1" applyFill="1" applyBorder="1" applyAlignment="1">
      <x:alignment horizontal="center"/>
    </x:xf>
    <x:xf numFmtId="0" fontId="26" fillId="5" borderId="0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27" fillId="3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4" xfId="0" applyNumberFormat="1" applyFont="1" applyFill="1" applyBorder="1"/>
    <x:xf numFmtId="0" fontId="21" fillId="6" borderId="5" xfId="0" applyNumberFormat="1" applyFont="1" applyFill="1" applyBorder="1"/>
    <x:xf numFmtId="0" fontId="21" fillId="6" borderId="6" xfId="0" applyNumberFormat="1" applyFont="1" applyFill="1" applyBorder="1"/>
    <x:xf numFmtId="0" fontId="21" fillId="6" borderId="4" xfId="0" applyNumberFormat="1" applyFont="1" applyFill="1" applyBorder="1" applyAlignment="1">
      <x:alignment wrapText="1"/>
    </x:xf>
    <x:xf numFmtId="0" fontId="21" fillId="6" borderId="5" xfId="0" applyNumberFormat="1" applyFont="1" applyFill="1" applyBorder="1" applyAlignment="1">
      <x:alignment wrapText="1"/>
    </x:xf>
    <x:xf numFmtId="0" fontId="21" fillId="6" borderId="6" xfId="0" applyNumberFormat="1" applyFont="1" applyFill="1" applyBorder="1" applyAlignment="1">
      <x:alignment wrapText="1"/>
    </x:xf>
    <x:xf numFmtId="0" fontId="28" fillId="5" borderId="0" xfId="0" applyNumberFormat="1" applyFont="1" applyFill="1" applyBorder="1" applyAlignment="1">
      <x:alignment horizontal="center" vertical="center"/>
    </x:xf>
    <x:xf numFmtId="0" fontId="15" fillId="4" borderId="4" xfId="0" applyNumberFormat="1" applyFont="1" applyFill="1" applyBorder="1" applyAlignment="1">
      <x:alignment vertical="center" wrapText="1"/>
    </x:xf>
    <x:xf numFmtId="0" fontId="15" fillId="4" borderId="5" xfId="0" applyNumberFormat="1" applyFont="1" applyFill="1" applyBorder="1" applyAlignment="1">
      <x:alignment vertical="center" wrapText="1"/>
    </x:xf>
    <x:xf numFmtId="0" fontId="15" fillId="4" borderId="6" xfId="0" applyNumberFormat="1" applyFont="1" applyFill="1" applyBorder="1" applyAlignment="1">
      <x:alignment vertical="center" wrapText="1"/>
    </x:xf>
    <x:xf numFmtId="0" fontId="29" fillId="3" borderId="0" xfId="0" applyNumberFormat="1" applyFont="1" applyFill="1" applyBorder="1"/>
    <x:xf numFmtId="0" fontId="25" fillId="6" borderId="4" xfId="0" applyNumberFormat="1" applyFont="1" applyFill="1" applyBorder="1" applyAlignment="1">
      <x:alignment wrapText="1"/>
    </x:xf>
    <x:xf numFmtId="0" fontId="25" fillId="6" borderId="5" xfId="0" applyNumberFormat="1" applyFont="1" applyFill="1" applyBorder="1" applyAlignment="1">
      <x:alignment wrapText="1"/>
    </x:xf>
    <x:xf numFmtId="0" fontId="25" fillId="6" borderId="6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1d975f10a479e" /><Relationship Type="http://schemas.openxmlformats.org/officeDocument/2006/relationships/theme" Target="/xl/theme/theme1.xml" Id="Re0e2cee678d74715" /><Relationship Type="http://schemas.openxmlformats.org/officeDocument/2006/relationships/sharedStrings" Target="/xl/sharedStrings.xml" Id="R177af84a83064480" /><Relationship Type="http://schemas.openxmlformats.org/officeDocument/2006/relationships/worksheet" Target="/xl/worksheets/sheet1.xml" Id="R43b69376ec9944f8" /><Relationship Type="http://schemas.openxmlformats.org/officeDocument/2006/relationships/worksheet" Target="/xl/worksheets/sheet2.xml" Id="R13d1777206974208" /><Relationship Type="http://schemas.openxmlformats.org/officeDocument/2006/relationships/worksheet" Target="/xl/worksheets/sheet3.xml" Id="Rbf67f10380cf49e1" /></Relationships>
</file>

<file path=xl/tables/table1.xml><?xml version="1.0" encoding="utf-8"?>
<x:table xmlns:x="http://schemas.openxmlformats.org/spreadsheetml/2006/main" id="1" name="LocalMarketingTracker" displayName="LocalMarketingTracker" ref="A6:L106" headerRowCount="1" totalsRowCount="0" totalsRowShown="0">
  <x:tableColumns count="12">
    <x:tableColumn id="1" name="Неделя"/>
    <x:tableColumn id="2" name="Направление"/>
    <x:tableColumn id="3" name="Задача"/>
    <x:tableColumn id="4" name="Ответственный"/>
    <x:tableColumn id="5" name="Статус"/>
    <x:tableColumn id="6" name="Плановая дата"/>
    <x:tableColumn id="7" name="Факт"/>
    <x:tableColumn id="8" name="Метрика до"/>
    <x:tableColumn id="9" name="Метрика после"/>
    <x:tableColumn id="10" name="Изменение"/>
    <x:tableColumn id="11" name="Следующий шаг"/>
    <x:tableColumn id="12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270966ce2742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9" hidden="0" customWidth="1"/>
    <x:col min="8" max="8" width="9" hidden="0" customWidth="1"/>
  </x:cols>
  <x:sheetData>
    <x:row r="1">
      <x:c r="A1" s="41" t="str">
        <x:v>Контроль локального маркетинга</x:v>
      </x:c>
      <x:c r="B1" s="41"/>
      <x:c r="C1" s="41"/>
      <x:c r="D1" s="41"/>
      <x:c r="E1" s="41"/>
      <x:c r="F1" s="41"/>
      <x:c r="G1" s="41"/>
      <x:c r="H1" s="41"/>
    </x:row>
    <x:row r="2">
      <x:c r="A2" s="41"/>
      <x:c r="B2" s="41"/>
      <x:c r="C2" s="41"/>
      <x:c r="D2" s="41"/>
      <x:c r="E2" s="41"/>
      <x:c r="F2" s="41"/>
      <x:c r="G2" s="41"/>
      <x:c r="H2" s="41"/>
    </x:row>
    <x:row r="3">
      <x:c r="A3" s="42" t="str">
        <x:v>Одна таблица для карт, отзывов, публикаций, партнёрств и повторных касаний</x:v>
      </x:c>
      <x:c r="B3" s="42"/>
      <x:c r="C3" s="42"/>
      <x:c r="D3" s="42"/>
      <x:c r="E3" s="42"/>
      <x:c r="F3" s="42"/>
      <x:c r="G3" s="42"/>
      <x:c r="H3" s="42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 ht="31" customHeight="1">
      <x:c r="A5" s="44" t="str">
        <x:v>Задач всего</x:v>
      </x:c>
      <x:c r="B5" s="45" t="str">
        <x:v>Выполнено</x:v>
      </x:c>
      <x:c r="C5" s="45" t="str">
        <x:v>В работе</x:v>
      </x:c>
      <x:c r="D5" s="45" t="str">
        <x:v>Просрочено</x:v>
      </x:c>
      <x:c r="E5" s="45" t="str">
        <x:v>Выполнение</x:v>
      </x:c>
      <x:c r="F5" s="46" t="str">
        <x:v>Нужны решения</x:v>
      </x:c>
      <x:c r="G5" s="43"/>
      <x:c r="H5" s="43"/>
    </x:row>
    <x:row r="6" ht="31" customHeight="1">
      <x:c r="A6" s="47" t="n">
        <x:f>COUNTA('Контроль'!$C$7:$C$106)</x:f>
        <x:v>5</x:v>
      </x:c>
      <x:c r="B6" s="48" t="n">
        <x:f>COUNTIF('Контроль'!$E$7:$E$106,"Готово")</x:f>
        <x:v>0</x:v>
      </x:c>
      <x:c r="C6" s="48" t="n">
        <x:f>COUNTIF('Контроль'!$E$7:$E$106,"В работе")</x:f>
        <x:v>0</x:v>
      </x:c>
      <x:c r="D6" s="48" t="n">
        <x:f>COUNTIFS('Контроль'!$F$7:$F$106,"&lt;&gt;",'Контроль'!$F$7:$F$106,"&lt;"&amp;TODAY(),'Контроль'!$E$7:$E$106,"&lt;&gt;Готово",'Контроль'!$C$7:$C$106,"&lt;&gt;")</x:f>
        <x:v>0</x:v>
      </x:c>
      <x:c r="E6" s="49" t="n">
        <x:f>IF(A6=0,0,B6/A6)</x:f>
        <x:v>0</x:v>
      </x:c>
      <x:c r="F6" s="50" t="n">
        <x:f>COUNTIF('Контроль'!$E$7:$E$106,"Нужно решение")</x:f>
        <x:v>0</x:v>
      </x:c>
      <x:c r="G6" s="43"/>
      <x:c r="H6" s="43"/>
    </x:row>
    <x:row r="7">
      <x:c r="A7" s="43"/>
      <x:c r="B7" s="43"/>
      <x:c r="C7" s="43"/>
      <x:c r="D7" s="43"/>
      <x:c r="E7" s="43"/>
      <x:c r="F7" s="43"/>
      <x:c r="G7" s="43"/>
      <x:c r="H7" s="43"/>
    </x:row>
    <x:row r="8">
      <x:c r="A8" s="43"/>
      <x:c r="B8" s="43"/>
      <x:c r="C8" s="43"/>
      <x:c r="D8" s="43"/>
      <x:c r="E8" s="43"/>
      <x:c r="F8" s="43"/>
      <x:c r="G8" s="43"/>
      <x:c r="H8" s="43"/>
    </x:row>
    <x:row r="9">
      <x:c r="A9" s="51" t="str">
        <x:v>Направление</x:v>
      </x:c>
      <x:c r="B9" s="51" t="str">
        <x:v>Всего</x:v>
      </x:c>
      <x:c r="C9" s="51" t="str">
        <x:v>Готово</x:v>
      </x:c>
      <x:c r="D9" s="51" t="str">
        <x:v>Выполнение</x:v>
      </x:c>
      <x:c r="E9" s="43"/>
      <x:c r="F9" s="43"/>
      <x:c r="G9" s="43"/>
      <x:c r="H9" s="43"/>
    </x:row>
    <x:row r="10">
      <x:c r="A10" s="52" t="str">
        <x:v>Карты</x:v>
      </x:c>
      <x:c r="B10" s="53" t="n">
        <x:f>COUNTIF('Контроль'!$B$7:$B$106,A10)</x:f>
        <x:v>1</x:v>
      </x:c>
      <x:c r="C10" s="53" t="n">
        <x:f>COUNTIFS('Контроль'!$B$7:$B$106,A10,'Контроль'!$E$7:$E$106,"Готово")</x:f>
        <x:v>0</x:v>
      </x:c>
      <x:c r="D10" s="54" t="n">
        <x:f>IF(B10=0,0,C10/B10)</x:f>
        <x:v>0</x:v>
      </x:c>
      <x:c r="E10" s="43"/>
      <x:c r="F10" s="43"/>
      <x:c r="G10" s="43"/>
      <x:c r="H10" s="43"/>
    </x:row>
    <x:row r="11">
      <x:c r="A11" s="55" t="str">
        <x:v>Отзывы</x:v>
      </x:c>
      <x:c r="B11" s="56" t="n">
        <x:f>COUNTIF('Контроль'!$B$7:$B$106,A11)</x:f>
        <x:v>1</x:v>
      </x:c>
      <x:c r="C11" s="56" t="n">
        <x:f>COUNTIFS('Контроль'!$B$7:$B$106,A11,'Контроль'!$E$7:$E$106,"Готово")</x:f>
        <x:v>0</x:v>
      </x:c>
      <x:c r="D11" s="57" t="n">
        <x:f>IF(B11=0,0,C11/B11)</x:f>
        <x:v>0</x:v>
      </x:c>
      <x:c r="E11" s="43"/>
      <x:c r="F11" s="43"/>
      <x:c r="G11" s="43"/>
      <x:c r="H11" s="43"/>
    </x:row>
    <x:row r="12">
      <x:c r="A12" s="55" t="str">
        <x:v>Публикации</x:v>
      </x:c>
      <x:c r="B12" s="56" t="n">
        <x:f>COUNTIF('Контроль'!$B$7:$B$106,A12)</x:f>
        <x:v>1</x:v>
      </x:c>
      <x:c r="C12" s="56" t="n">
        <x:f>COUNTIFS('Контроль'!$B$7:$B$106,A12,'Контроль'!$E$7:$E$106,"Готово")</x:f>
        <x:v>0</x:v>
      </x:c>
      <x:c r="D12" s="57" t="n">
        <x:f>IF(B12=0,0,C12/B12)</x:f>
        <x:v>0</x:v>
      </x:c>
      <x:c r="E12" s="43"/>
      <x:c r="F12" s="43"/>
      <x:c r="G12" s="43"/>
      <x:c r="H12" s="43"/>
    </x:row>
    <x:row r="13">
      <x:c r="A13" s="55" t="str">
        <x:v>Партнёрства</x:v>
      </x:c>
      <x:c r="B13" s="56" t="n">
        <x:f>COUNTIF('Контроль'!$B$7:$B$106,A13)</x:f>
        <x:v>1</x:v>
      </x:c>
      <x:c r="C13" s="56" t="n">
        <x:f>COUNTIFS('Контроль'!$B$7:$B$106,A13,'Контроль'!$E$7:$E$106,"Готово")</x:f>
        <x:v>0</x:v>
      </x:c>
      <x:c r="D13" s="57" t="n">
        <x:f>IF(B13=0,0,C13/B13)</x:f>
        <x:v>0</x:v>
      </x:c>
      <x:c r="E13" s="43"/>
      <x:c r="F13" s="43"/>
      <x:c r="G13" s="43"/>
      <x:c r="H13" s="43"/>
    </x:row>
    <x:row r="14">
      <x:c r="A14" s="55" t="str">
        <x:v>Повторные касания</x:v>
      </x:c>
      <x:c r="B14" s="56" t="n">
        <x:f>COUNTIF('Контроль'!$B$7:$B$106,A14)</x:f>
        <x:v>1</x:v>
      </x:c>
      <x:c r="C14" s="56" t="n">
        <x:f>COUNTIFS('Контроль'!$B$7:$B$106,A14,'Контроль'!$E$7:$E$106,"Готово")</x:f>
        <x:v>0</x:v>
      </x:c>
      <x:c r="D14" s="57" t="n">
        <x:f>IF(B14=0,0,C14/B14)</x:f>
        <x:v>0</x:v>
      </x:c>
      <x:c r="E14" s="43"/>
      <x:c r="F14" s="43"/>
      <x:c r="G14" s="43"/>
      <x:c r="H14" s="43"/>
    </x:row>
    <x:row r="15">
      <x:c r="A15" s="43"/>
      <x:c r="B15" s="43"/>
      <x:c r="C15" s="43"/>
      <x:c r="D15" s="43"/>
      <x:c r="E15" s="43"/>
      <x:c r="F15" s="43"/>
      <x:c r="G15" s="43"/>
      <x:c r="H15" s="43"/>
    </x:row>
    <x:row r="16">
      <x:c r="A16" s="43"/>
      <x:c r="B16" s="43"/>
      <x:c r="C16" s="43"/>
      <x:c r="D16" s="43"/>
      <x:c r="E16" s="43"/>
      <x:c r="F16" s="43"/>
      <x:c r="G16" s="43"/>
      <x:c r="H16" s="43"/>
    </x:row>
    <x:row r="17">
      <x:c r="A17" s="58" t="str">
        <x:v>Ритм владельца: 15 минут раз в неделю</x:v>
      </x:c>
      <x:c r="B17" s="58"/>
      <x:c r="C17" s="58"/>
      <x:c r="D17" s="58"/>
      <x:c r="E17" s="58"/>
      <x:c r="F17" s="58"/>
      <x:c r="G17" s="58"/>
      <x:c r="H17" s="58"/>
    </x:row>
    <x:row r="18">
      <x:c r="A18" s="59" t="str">
        <x:v>Откройте лист «Контроль», обновите статусы и даты, затем вернитесь сюда. Сводка покажет, где работа остановилась и что требует вашего решения. Не пытайтесь заполнить всё сразу: начните с пяти повторяющихся задач — по одной на каждое направление.</x:v>
      </x:c>
      <x:c r="B18" s="59"/>
      <x:c r="C18" s="59"/>
      <x:c r="D18" s="59"/>
      <x:c r="E18" s="59"/>
      <x:c r="F18" s="59"/>
      <x:c r="G18" s="59"/>
      <x:c r="H18" s="59"/>
    </x:row>
    <x:row r="19">
      <x:c r="A19" s="59"/>
      <x:c r="B19" s="59"/>
      <x:c r="C19" s="59"/>
      <x:c r="D19" s="59"/>
      <x:c r="E19" s="59"/>
      <x:c r="F19" s="59"/>
      <x:c r="G19" s="59"/>
      <x:c r="H19" s="59"/>
    </x:row>
    <x:row r="20">
      <x:c r="A20" s="59"/>
      <x:c r="B20" s="59"/>
      <x:c r="C20" s="59"/>
      <x:c r="D20" s="59"/>
      <x:c r="E20" s="59"/>
      <x:c r="F20" s="59"/>
      <x:c r="G20" s="59"/>
      <x:c r="H20" s="59"/>
    </x:row>
  </x:sheetData>
  <x:mergeCells>
    <x:mergeCell ref="A1:H2"/>
    <x:mergeCell ref="A3:H3"/>
    <x:mergeCell ref="A17:H17"/>
    <x:mergeCell ref="A18:H20"/>
  </x:mergeCells>
  <x:conditionalFormatting sqref="D10:D1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18" hidden="0" customWidth="1"/>
    <x:col min="5" max="5" width="17" hidden="0" customWidth="1"/>
    <x:col min="6" max="6" width="15" hidden="0" customWidth="1"/>
    <x:col min="7" max="7" width="19" hidden="0" customWidth="1"/>
    <x:col min="8" max="8" width="13" hidden="0" customWidth="1"/>
    <x:col min="9" max="9" width="14" hidden="0" customWidth="1"/>
    <x:col min="10" max="10" width="12" hidden="0" customWidth="1"/>
    <x:col min="11" max="11" width="35" hidden="0" customWidth="1"/>
    <x:col min="12" max="12" width="28" hidden="0" customWidth="1"/>
  </x:cols>
  <x:sheetData>
    <x:row r="1">
      <x:c r="A1" s="94" t="str">
        <x:v>Еженедельный контроль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</x:row>
    <x:row r="2">
      <x:c r="A2" s="94"/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</x:row>
    <x:row r="3">
      <x:c r="A3" s="95" t="str">
        <x:v>Заполняйте только жёлтые поля. Для каждой задачи назначьте ответственного, срок и следующий шаг. Если требуется решение владельца — выберите соответствующий статус.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</x:row>
    <x:row r="4">
      <x:c r="A4" s="95"/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</x:row>
    <x:row r="6" ht="34" customHeight="1">
      <x:c r="A6" s="96" t="str">
        <x:v>Неделя</x:v>
      </x:c>
      <x:c r="B6" s="96" t="str">
        <x:v>Направление</x:v>
      </x:c>
      <x:c r="C6" s="96" t="str">
        <x:v>Задача</x:v>
      </x:c>
      <x:c r="D6" s="96" t="str">
        <x:v>Ответственный</x:v>
      </x:c>
      <x:c r="E6" s="96" t="str">
        <x:v>Статус</x:v>
      </x:c>
      <x:c r="F6" s="96" t="str">
        <x:v>Плановая дата</x:v>
      </x:c>
      <x:c r="G6" s="96" t="str">
        <x:v>Факт</x:v>
      </x:c>
      <x:c r="H6" s="96" t="str">
        <x:v>Метрика до</x:v>
      </x:c>
      <x:c r="I6" s="96" t="str">
        <x:v>Метрика после</x:v>
      </x:c>
      <x:c r="J6" s="96" t="str">
        <x:v>Изменение</x:v>
      </x:c>
      <x:c r="K6" s="96" t="str">
        <x:v>Следующий шаг</x:v>
      </x:c>
      <x:c r="L6" s="96" t="str">
        <x:v>Комментарий</x:v>
      </x:c>
    </x:row>
    <x:row r="7" ht="44" customHeight="1">
      <x:c r="A7" s="97" t="str">
        <x:v>Текущая</x:v>
      </x:c>
      <x:c r="B7" s="97" t="str">
        <x:v>Карты</x:v>
      </x:c>
      <x:c r="C7" s="97" t="str">
        <x:v>Проверить услуги, цены, фото и последние изменения в карточке</x:v>
      </x:c>
      <x:c r="D7" s="97" t="str"/>
      <x:c r="E7" s="97" t="str">
        <x:v>Не начато</x:v>
      </x:c>
      <x:c r="F7" s="98"/>
      <x:c r="G7" s="99" t="str"/>
      <x:c r="H7" s="100"/>
      <x:c r="I7" s="100"/>
      <x:c r="J7" s="101" t="str">
        <x:f>IF(OR(H7="",I7="",H7=0),"",(I7-H7)/H7)</x:f>
      </x:c>
      <x:c r="K7" s="97" t="str">
        <x:v>Записать одно исправление на неделю</x:v>
      </x:c>
      <x:c r="L7" s="97" t="str"/>
    </x:row>
    <x:row r="8" ht="44" customHeight="1">
      <x:c r="A8" s="102" t="str">
        <x:v>Текущая</x:v>
      </x:c>
      <x:c r="B8" s="102" t="str">
        <x:v>Отзывы</x:v>
      </x:c>
      <x:c r="C8" s="102" t="str">
        <x:v>Ответить на новые отзывы и отметить сложные случаи</x:v>
      </x:c>
      <x:c r="D8" s="102" t="str"/>
      <x:c r="E8" s="102" t="str">
        <x:v>Не начато</x:v>
      </x:c>
      <x:c r="F8" s="103"/>
      <x:c r="G8" s="104" t="str"/>
      <x:c r="H8" s="105"/>
      <x:c r="I8" s="105"/>
      <x:c r="J8" s="106" t="str">
        <x:f>IF(OR(H8="",I8="",H8=0),"",(I8-H8)/H8)</x:f>
      </x:c>
      <x:c r="K8" s="102" t="str">
        <x:v>Подготовить и проверить ответы</x:v>
      </x:c>
      <x:c r="L8" s="102" t="str"/>
    </x:row>
    <x:row r="9" ht="44" customHeight="1">
      <x:c r="A9" s="102" t="str">
        <x:v>Текущая</x:v>
      </x:c>
      <x:c r="B9" s="102" t="str">
        <x:v>Публикации</x:v>
      </x:c>
      <x:c r="C9" s="102" t="str">
        <x:v>Опубликовать полезное обновление для клиентов</x:v>
      </x:c>
      <x:c r="D9" s="102" t="str"/>
      <x:c r="E9" s="102" t="str">
        <x:v>Не начато</x:v>
      </x:c>
      <x:c r="F9" s="103"/>
      <x:c r="G9" s="104" t="str"/>
      <x:c r="H9" s="105"/>
      <x:c r="I9" s="105"/>
      <x:c r="J9" s="106" t="str">
        <x:f>IF(OR(H9="",I9="",H9=0),"",(I9-H9)/H9)</x:f>
      </x:c>
      <x:c r="K9" s="102" t="str">
        <x:v>Выбрать тему и дату</x:v>
      </x:c>
      <x:c r="L9" s="102" t="str"/>
    </x:row>
    <x:row r="10" ht="44" customHeight="1">
      <x:c r="A10" s="102" t="str">
        <x:v>Текущая</x:v>
      </x:c>
      <x:c r="B10" s="102" t="str">
        <x:v>Партнёрства</x:v>
      </x:c>
      <x:c r="C10" s="102" t="str">
        <x:v>Связаться с одним подходящим бизнесом рядом</x:v>
      </x:c>
      <x:c r="D10" s="102" t="str"/>
      <x:c r="E10" s="102" t="str">
        <x:v>Не начато</x:v>
      </x:c>
      <x:c r="F10" s="103"/>
      <x:c r="G10" s="104" t="str"/>
      <x:c r="H10" s="105"/>
      <x:c r="I10" s="105"/>
      <x:c r="J10" s="106" t="str">
        <x:f>IF(OR(H10="",I10="",H10=0),"",(I10-H10)/H10)</x:f>
      </x:c>
      <x:c r="K10" s="102" t="str">
        <x:v>Подготовить предложение и подтвердить отправку</x:v>
      </x:c>
      <x:c r="L10" s="102" t="str"/>
    </x:row>
    <x:row r="11" ht="44" customHeight="1">
      <x:c r="A11" s="102" t="str">
        <x:v>Текущая</x:v>
      </x:c>
      <x:c r="B11" s="102" t="str">
        <x:v>Повторные касания</x:v>
      </x:c>
      <x:c r="C11" s="102" t="str">
        <x:v>Проверить клиентов, которым пора напомнить о себе</x:v>
      </x:c>
      <x:c r="D11" s="102" t="str"/>
      <x:c r="E11" s="102" t="str">
        <x:v>Не начато</x:v>
      </x:c>
      <x:c r="F11" s="103"/>
      <x:c r="G11" s="104" t="str"/>
      <x:c r="H11" s="105"/>
      <x:c r="I11" s="105"/>
      <x:c r="J11" s="106" t="str">
        <x:f>IF(OR(H11="",I11="",H11=0),"",(I11-H11)/H11)</x:f>
      </x:c>
      <x:c r="K11" s="102" t="str">
        <x:v>Собрать список и предложение</x:v>
      </x:c>
      <x:c r="L11" s="102" t="str"/>
    </x:row>
    <x:row r="12" ht="44" customHeight="1">
      <x:c r="A12" s="102"/>
      <x:c r="B12" s="102"/>
      <x:c r="C12" s="102"/>
      <x:c r="D12" s="102"/>
      <x:c r="E12" s="102"/>
      <x:c r="F12" s="103"/>
      <x:c r="G12" s="104"/>
      <x:c r="H12" s="105"/>
      <x:c r="I12" s="105"/>
      <x:c r="J12" s="106" t="str">
        <x:f>IF(OR(H12="",I12="",H12=0),"",(I12-H12)/H12)</x:f>
      </x:c>
      <x:c r="K12" s="102"/>
      <x:c r="L12" s="102"/>
    </x:row>
    <x:row r="13" ht="44" customHeight="1">
      <x:c r="A13" s="102"/>
      <x:c r="B13" s="102"/>
      <x:c r="C13" s="102"/>
      <x:c r="D13" s="102"/>
      <x:c r="E13" s="102"/>
      <x:c r="F13" s="103"/>
      <x:c r="G13" s="104"/>
      <x:c r="H13" s="105"/>
      <x:c r="I13" s="105"/>
      <x:c r="J13" s="106" t="str">
        <x:f>IF(OR(H13="",I13="",H13=0),"",(I13-H13)/H13)</x:f>
      </x:c>
      <x:c r="K13" s="102"/>
      <x:c r="L13" s="102"/>
    </x:row>
    <x:row r="14" ht="44" customHeight="1">
      <x:c r="A14" s="102"/>
      <x:c r="B14" s="102"/>
      <x:c r="C14" s="102"/>
      <x:c r="D14" s="102"/>
      <x:c r="E14" s="102"/>
      <x:c r="F14" s="103"/>
      <x:c r="G14" s="104"/>
      <x:c r="H14" s="105"/>
      <x:c r="I14" s="105"/>
      <x:c r="J14" s="106" t="str">
        <x:f>IF(OR(H14="",I14="",H14=0),"",(I14-H14)/H14)</x:f>
      </x:c>
      <x:c r="K14" s="102"/>
      <x:c r="L14" s="102"/>
    </x:row>
    <x:row r="15" ht="44" customHeight="1">
      <x:c r="A15" s="102"/>
      <x:c r="B15" s="102"/>
      <x:c r="C15" s="102"/>
      <x:c r="D15" s="102"/>
      <x:c r="E15" s="102"/>
      <x:c r="F15" s="103"/>
      <x:c r="G15" s="104"/>
      <x:c r="H15" s="105"/>
      <x:c r="I15" s="105"/>
      <x:c r="J15" s="106" t="str">
        <x:f>IF(OR(H15="",I15="",H15=0),"",(I15-H15)/H15)</x:f>
      </x:c>
      <x:c r="K15" s="102"/>
      <x:c r="L15" s="102"/>
    </x:row>
    <x:row r="16" ht="44" customHeight="1">
      <x:c r="A16" s="102"/>
      <x:c r="B16" s="102"/>
      <x:c r="C16" s="102"/>
      <x:c r="D16" s="102"/>
      <x:c r="E16" s="102"/>
      <x:c r="F16" s="103"/>
      <x:c r="G16" s="104"/>
      <x:c r="H16" s="105"/>
      <x:c r="I16" s="105"/>
      <x:c r="J16" s="106" t="str">
        <x:f>IF(OR(H16="",I16="",H16=0),"",(I16-H16)/H16)</x:f>
      </x:c>
      <x:c r="K16" s="102"/>
      <x:c r="L16" s="102"/>
    </x:row>
    <x:row r="17" ht="44" customHeight="1">
      <x:c r="A17" s="102"/>
      <x:c r="B17" s="102"/>
      <x:c r="C17" s="102"/>
      <x:c r="D17" s="102"/>
      <x:c r="E17" s="102"/>
      <x:c r="F17" s="103"/>
      <x:c r="G17" s="104"/>
      <x:c r="H17" s="105"/>
      <x:c r="I17" s="105"/>
      <x:c r="J17" s="106" t="str">
        <x:f>IF(OR(H17="",I17="",H17=0),"",(I17-H17)/H17)</x:f>
      </x:c>
      <x:c r="K17" s="102"/>
      <x:c r="L17" s="102"/>
    </x:row>
    <x:row r="18" ht="44" customHeight="1">
      <x:c r="A18" s="102"/>
      <x:c r="B18" s="102"/>
      <x:c r="C18" s="102"/>
      <x:c r="D18" s="102"/>
      <x:c r="E18" s="102"/>
      <x:c r="F18" s="103"/>
      <x:c r="G18" s="104"/>
      <x:c r="H18" s="105"/>
      <x:c r="I18" s="105"/>
      <x:c r="J18" s="106" t="str">
        <x:f>IF(OR(H18="",I18="",H18=0),"",(I18-H18)/H18)</x:f>
      </x:c>
      <x:c r="K18" s="102"/>
      <x:c r="L18" s="102"/>
    </x:row>
    <x:row r="19" ht="44" customHeight="1">
      <x:c r="A19" s="102"/>
      <x:c r="B19" s="102"/>
      <x:c r="C19" s="102"/>
      <x:c r="D19" s="102"/>
      <x:c r="E19" s="102"/>
      <x:c r="F19" s="103"/>
      <x:c r="G19" s="104"/>
      <x:c r="H19" s="105"/>
      <x:c r="I19" s="105"/>
      <x:c r="J19" s="106" t="str">
        <x:f>IF(OR(H19="",I19="",H19=0),"",(I19-H19)/H19)</x:f>
      </x:c>
      <x:c r="K19" s="102"/>
      <x:c r="L19" s="102"/>
    </x:row>
    <x:row r="20" ht="44" customHeight="1">
      <x:c r="A20" s="102"/>
      <x:c r="B20" s="102"/>
      <x:c r="C20" s="102"/>
      <x:c r="D20" s="102"/>
      <x:c r="E20" s="102"/>
      <x:c r="F20" s="103"/>
      <x:c r="G20" s="104"/>
      <x:c r="H20" s="105"/>
      <x:c r="I20" s="105"/>
      <x:c r="J20" s="106" t="str">
        <x:f>IF(OR(H20="",I20="",H20=0),"",(I20-H20)/H20)</x:f>
      </x:c>
      <x:c r="K20" s="102"/>
      <x:c r="L20" s="102"/>
    </x:row>
    <x:row r="21" ht="44" customHeight="1">
      <x:c r="A21" s="102"/>
      <x:c r="B21" s="102"/>
      <x:c r="C21" s="102"/>
      <x:c r="D21" s="102"/>
      <x:c r="E21" s="102"/>
      <x:c r="F21" s="103"/>
      <x:c r="G21" s="104"/>
      <x:c r="H21" s="105"/>
      <x:c r="I21" s="105"/>
      <x:c r="J21" s="106" t="str">
        <x:f>IF(OR(H21="",I21="",H21=0),"",(I21-H21)/H21)</x:f>
      </x:c>
      <x:c r="K21" s="102"/>
      <x:c r="L21" s="102"/>
    </x:row>
    <x:row r="22" ht="44" customHeight="1">
      <x:c r="A22" s="102"/>
      <x:c r="B22" s="102"/>
      <x:c r="C22" s="102"/>
      <x:c r="D22" s="102"/>
      <x:c r="E22" s="102"/>
      <x:c r="F22" s="103"/>
      <x:c r="G22" s="104"/>
      <x:c r="H22" s="105"/>
      <x:c r="I22" s="105"/>
      <x:c r="J22" s="106" t="str">
        <x:f>IF(OR(H22="",I22="",H22=0),"",(I22-H22)/H22)</x:f>
      </x:c>
      <x:c r="K22" s="102"/>
      <x:c r="L22" s="102"/>
    </x:row>
    <x:row r="23" ht="44" customHeight="1">
      <x:c r="A23" s="102"/>
      <x:c r="B23" s="102"/>
      <x:c r="C23" s="102"/>
      <x:c r="D23" s="102"/>
      <x:c r="E23" s="102"/>
      <x:c r="F23" s="103"/>
      <x:c r="G23" s="104"/>
      <x:c r="H23" s="105"/>
      <x:c r="I23" s="105"/>
      <x:c r="J23" s="106" t="str">
        <x:f>IF(OR(H23="",I23="",H23=0),"",(I23-H23)/H23)</x:f>
      </x:c>
      <x:c r="K23" s="102"/>
      <x:c r="L23" s="102"/>
    </x:row>
    <x:row r="24" ht="44" customHeight="1">
      <x:c r="A24" s="102"/>
      <x:c r="B24" s="102"/>
      <x:c r="C24" s="102"/>
      <x:c r="D24" s="102"/>
      <x:c r="E24" s="102"/>
      <x:c r="F24" s="103"/>
      <x:c r="G24" s="104"/>
      <x:c r="H24" s="105"/>
      <x:c r="I24" s="105"/>
      <x:c r="J24" s="106" t="str">
        <x:f>IF(OR(H24="",I24="",H24=0),"",(I24-H24)/H24)</x:f>
      </x:c>
      <x:c r="K24" s="102"/>
      <x:c r="L24" s="102"/>
    </x:row>
    <x:row r="25" ht="44" customHeight="1">
      <x:c r="A25" s="102"/>
      <x:c r="B25" s="102"/>
      <x:c r="C25" s="102"/>
      <x:c r="D25" s="102"/>
      <x:c r="E25" s="102"/>
      <x:c r="F25" s="103"/>
      <x:c r="G25" s="104"/>
      <x:c r="H25" s="105"/>
      <x:c r="I25" s="105"/>
      <x:c r="J25" s="106" t="str">
        <x:f>IF(OR(H25="",I25="",H25=0),"",(I25-H25)/H25)</x:f>
      </x:c>
      <x:c r="K25" s="102"/>
      <x:c r="L25" s="102"/>
    </x:row>
    <x:row r="26" ht="44" customHeight="1">
      <x:c r="A26" s="102"/>
      <x:c r="B26" s="102"/>
      <x:c r="C26" s="102"/>
      <x:c r="D26" s="102"/>
      <x:c r="E26" s="102"/>
      <x:c r="F26" s="103"/>
      <x:c r="G26" s="104"/>
      <x:c r="H26" s="105"/>
      <x:c r="I26" s="105"/>
      <x:c r="J26" s="106" t="str">
        <x:f>IF(OR(H26="",I26="",H26=0),"",(I26-H26)/H26)</x:f>
      </x:c>
      <x:c r="K26" s="102"/>
      <x:c r="L26" s="102"/>
    </x:row>
    <x:row r="27" ht="44" customHeight="1">
      <x:c r="A27" s="102"/>
      <x:c r="B27" s="102"/>
      <x:c r="C27" s="102"/>
      <x:c r="D27" s="102"/>
      <x:c r="E27" s="102"/>
      <x:c r="F27" s="103"/>
      <x:c r="G27" s="104"/>
      <x:c r="H27" s="105"/>
      <x:c r="I27" s="105"/>
      <x:c r="J27" s="106" t="str">
        <x:f>IF(OR(H27="",I27="",H27=0),"",(I27-H27)/H27)</x:f>
      </x:c>
      <x:c r="K27" s="102"/>
      <x:c r="L27" s="102"/>
    </x:row>
    <x:row r="28" ht="44" customHeight="1">
      <x:c r="A28" s="102"/>
      <x:c r="B28" s="102"/>
      <x:c r="C28" s="102"/>
      <x:c r="D28" s="102"/>
      <x:c r="E28" s="102"/>
      <x:c r="F28" s="103"/>
      <x:c r="G28" s="104"/>
      <x:c r="H28" s="105"/>
      <x:c r="I28" s="105"/>
      <x:c r="J28" s="106" t="str">
        <x:f>IF(OR(H28="",I28="",H28=0),"",(I28-H28)/H28)</x:f>
      </x:c>
      <x:c r="K28" s="102"/>
      <x:c r="L28" s="102"/>
    </x:row>
    <x:row r="29" ht="44" customHeight="1">
      <x:c r="A29" s="102"/>
      <x:c r="B29" s="102"/>
      <x:c r="C29" s="102"/>
      <x:c r="D29" s="102"/>
      <x:c r="E29" s="102"/>
      <x:c r="F29" s="103"/>
      <x:c r="G29" s="104"/>
      <x:c r="H29" s="105"/>
      <x:c r="I29" s="105"/>
      <x:c r="J29" s="106" t="str">
        <x:f>IF(OR(H29="",I29="",H29=0),"",(I29-H29)/H29)</x:f>
      </x:c>
      <x:c r="K29" s="102"/>
      <x:c r="L29" s="102"/>
    </x:row>
    <x:row r="30" ht="44" customHeight="1">
      <x:c r="A30" s="102"/>
      <x:c r="B30" s="102"/>
      <x:c r="C30" s="102"/>
      <x:c r="D30" s="102"/>
      <x:c r="E30" s="102"/>
      <x:c r="F30" s="103"/>
      <x:c r="G30" s="104"/>
      <x:c r="H30" s="105"/>
      <x:c r="I30" s="105"/>
      <x:c r="J30" s="106" t="str">
        <x:f>IF(OR(H30="",I30="",H30=0),"",(I30-H30)/H30)</x:f>
      </x:c>
      <x:c r="K30" s="102"/>
      <x:c r="L30" s="102"/>
    </x:row>
    <x:row r="31" ht="44" customHeight="1">
      <x:c r="A31" s="102"/>
      <x:c r="B31" s="102"/>
      <x:c r="C31" s="102"/>
      <x:c r="D31" s="102"/>
      <x:c r="E31" s="102"/>
      <x:c r="F31" s="103"/>
      <x:c r="G31" s="104"/>
      <x:c r="H31" s="105"/>
      <x:c r="I31" s="105"/>
      <x:c r="J31" s="106" t="str">
        <x:f>IF(OR(H31="",I31="",H31=0),"",(I31-H31)/H31)</x:f>
      </x:c>
      <x:c r="K31" s="102"/>
      <x:c r="L31" s="102"/>
    </x:row>
    <x:row r="32" ht="44" customHeight="1">
      <x:c r="A32" s="102"/>
      <x:c r="B32" s="102"/>
      <x:c r="C32" s="102"/>
      <x:c r="D32" s="102"/>
      <x:c r="E32" s="102"/>
      <x:c r="F32" s="103"/>
      <x:c r="G32" s="104"/>
      <x:c r="H32" s="105"/>
      <x:c r="I32" s="105"/>
      <x:c r="J32" s="106" t="str">
        <x:f>IF(OR(H32="",I32="",H32=0),"",(I32-H32)/H32)</x:f>
      </x:c>
      <x:c r="K32" s="102"/>
      <x:c r="L32" s="102"/>
    </x:row>
    <x:row r="33" ht="44" customHeight="1">
      <x:c r="A33" s="102"/>
      <x:c r="B33" s="102"/>
      <x:c r="C33" s="102"/>
      <x:c r="D33" s="102"/>
      <x:c r="E33" s="102"/>
      <x:c r="F33" s="103"/>
      <x:c r="G33" s="104"/>
      <x:c r="H33" s="105"/>
      <x:c r="I33" s="105"/>
      <x:c r="J33" s="106" t="str">
        <x:f>IF(OR(H33="",I33="",H33=0),"",(I33-H33)/H33)</x:f>
      </x:c>
      <x:c r="K33" s="102"/>
      <x:c r="L33" s="102"/>
    </x:row>
    <x:row r="34" ht="44" customHeight="1">
      <x:c r="A34" s="102"/>
      <x:c r="B34" s="102"/>
      <x:c r="C34" s="102"/>
      <x:c r="D34" s="102"/>
      <x:c r="E34" s="102"/>
      <x:c r="F34" s="103"/>
      <x:c r="G34" s="104"/>
      <x:c r="H34" s="105"/>
      <x:c r="I34" s="105"/>
      <x:c r="J34" s="106" t="str">
        <x:f>IF(OR(H34="",I34="",H34=0),"",(I34-H34)/H34)</x:f>
      </x:c>
      <x:c r="K34" s="102"/>
      <x:c r="L34" s="102"/>
    </x:row>
    <x:row r="35" ht="44" customHeight="1">
      <x:c r="A35" s="102"/>
      <x:c r="B35" s="102"/>
      <x:c r="C35" s="102"/>
      <x:c r="D35" s="102"/>
      <x:c r="E35" s="102"/>
      <x:c r="F35" s="103"/>
      <x:c r="G35" s="104"/>
      <x:c r="H35" s="105"/>
      <x:c r="I35" s="105"/>
      <x:c r="J35" s="106" t="str">
        <x:f>IF(OR(H35="",I35="",H35=0),"",(I35-H35)/H35)</x:f>
      </x:c>
      <x:c r="K35" s="102"/>
      <x:c r="L35" s="102"/>
    </x:row>
    <x:row r="36" ht="44" customHeight="1">
      <x:c r="A36" s="102"/>
      <x:c r="B36" s="102"/>
      <x:c r="C36" s="102"/>
      <x:c r="D36" s="102"/>
      <x:c r="E36" s="102"/>
      <x:c r="F36" s="103"/>
      <x:c r="G36" s="104"/>
      <x:c r="H36" s="105"/>
      <x:c r="I36" s="105"/>
      <x:c r="J36" s="106" t="str">
        <x:f>IF(OR(H36="",I36="",H36=0),"",(I36-H36)/H36)</x:f>
      </x:c>
      <x:c r="K36" s="102"/>
      <x:c r="L36" s="102"/>
    </x:row>
    <x:row r="37" ht="44" customHeight="1">
      <x:c r="A37" s="102"/>
      <x:c r="B37" s="102"/>
      <x:c r="C37" s="102"/>
      <x:c r="D37" s="102"/>
      <x:c r="E37" s="102"/>
      <x:c r="F37" s="103"/>
      <x:c r="G37" s="104"/>
      <x:c r="H37" s="105"/>
      <x:c r="I37" s="105"/>
      <x:c r="J37" s="106" t="str">
        <x:f>IF(OR(H37="",I37="",H37=0),"",(I37-H37)/H37)</x:f>
      </x:c>
      <x:c r="K37" s="102"/>
      <x:c r="L37" s="102"/>
    </x:row>
    <x:row r="38" ht="44" customHeight="1">
      <x:c r="A38" s="102"/>
      <x:c r="B38" s="102"/>
      <x:c r="C38" s="102"/>
      <x:c r="D38" s="102"/>
      <x:c r="E38" s="102"/>
      <x:c r="F38" s="103"/>
      <x:c r="G38" s="104"/>
      <x:c r="H38" s="105"/>
      <x:c r="I38" s="105"/>
      <x:c r="J38" s="106" t="str">
        <x:f>IF(OR(H38="",I38="",H38=0),"",(I38-H38)/H38)</x:f>
      </x:c>
      <x:c r="K38" s="102"/>
      <x:c r="L38" s="102"/>
    </x:row>
    <x:row r="39" ht="44" customHeight="1">
      <x:c r="A39" s="102"/>
      <x:c r="B39" s="102"/>
      <x:c r="C39" s="102"/>
      <x:c r="D39" s="102"/>
      <x:c r="E39" s="102"/>
      <x:c r="F39" s="103"/>
      <x:c r="G39" s="104"/>
      <x:c r="H39" s="105"/>
      <x:c r="I39" s="105"/>
      <x:c r="J39" s="106" t="str">
        <x:f>IF(OR(H39="",I39="",H39=0),"",(I39-H39)/H39)</x:f>
      </x:c>
      <x:c r="K39" s="102"/>
      <x:c r="L39" s="102"/>
    </x:row>
    <x:row r="40" ht="44" customHeight="1">
      <x:c r="A40" s="102"/>
      <x:c r="B40" s="102"/>
      <x:c r="C40" s="102"/>
      <x:c r="D40" s="102"/>
      <x:c r="E40" s="102"/>
      <x:c r="F40" s="103"/>
      <x:c r="G40" s="104"/>
      <x:c r="H40" s="105"/>
      <x:c r="I40" s="105"/>
      <x:c r="J40" s="106" t="str">
        <x:f>IF(OR(H40="",I40="",H40=0),"",(I40-H40)/H40)</x:f>
      </x:c>
      <x:c r="K40" s="102"/>
      <x:c r="L40" s="102"/>
    </x:row>
    <x:row r="41" ht="44" customHeight="1">
      <x:c r="A41" s="102"/>
      <x:c r="B41" s="102"/>
      <x:c r="C41" s="102"/>
      <x:c r="D41" s="102"/>
      <x:c r="E41" s="102"/>
      <x:c r="F41" s="103"/>
      <x:c r="G41" s="104"/>
      <x:c r="H41" s="105"/>
      <x:c r="I41" s="105"/>
      <x:c r="J41" s="106" t="str">
        <x:f>IF(OR(H41="",I41="",H41=0),"",(I41-H41)/H41)</x:f>
      </x:c>
      <x:c r="K41" s="102"/>
      <x:c r="L41" s="102"/>
    </x:row>
    <x:row r="42" ht="44" customHeight="1">
      <x:c r="A42" s="102"/>
      <x:c r="B42" s="102"/>
      <x:c r="C42" s="102"/>
      <x:c r="D42" s="102"/>
      <x:c r="E42" s="102"/>
      <x:c r="F42" s="103"/>
      <x:c r="G42" s="104"/>
      <x:c r="H42" s="105"/>
      <x:c r="I42" s="105"/>
      <x:c r="J42" s="106" t="str">
        <x:f>IF(OR(H42="",I42="",H42=0),"",(I42-H42)/H42)</x:f>
      </x:c>
      <x:c r="K42" s="102"/>
      <x:c r="L42" s="102"/>
    </x:row>
    <x:row r="43" ht="44" customHeight="1">
      <x:c r="A43" s="102"/>
      <x:c r="B43" s="102"/>
      <x:c r="C43" s="102"/>
      <x:c r="D43" s="102"/>
      <x:c r="E43" s="102"/>
      <x:c r="F43" s="103"/>
      <x:c r="G43" s="104"/>
      <x:c r="H43" s="105"/>
      <x:c r="I43" s="105"/>
      <x:c r="J43" s="106" t="str">
        <x:f>IF(OR(H43="",I43="",H43=0),"",(I43-H43)/H43)</x:f>
      </x:c>
      <x:c r="K43" s="102"/>
      <x:c r="L43" s="102"/>
    </x:row>
    <x:row r="44" ht="44" customHeight="1">
      <x:c r="A44" s="102"/>
      <x:c r="B44" s="102"/>
      <x:c r="C44" s="102"/>
      <x:c r="D44" s="102"/>
      <x:c r="E44" s="102"/>
      <x:c r="F44" s="103"/>
      <x:c r="G44" s="104"/>
      <x:c r="H44" s="105"/>
      <x:c r="I44" s="105"/>
      <x:c r="J44" s="106" t="str">
        <x:f>IF(OR(H44="",I44="",H44=0),"",(I44-H44)/H44)</x:f>
      </x:c>
      <x:c r="K44" s="102"/>
      <x:c r="L44" s="102"/>
    </x:row>
    <x:row r="45" ht="44" customHeight="1">
      <x:c r="A45" s="102"/>
      <x:c r="B45" s="102"/>
      <x:c r="C45" s="102"/>
      <x:c r="D45" s="102"/>
      <x:c r="E45" s="102"/>
      <x:c r="F45" s="103"/>
      <x:c r="G45" s="104"/>
      <x:c r="H45" s="105"/>
      <x:c r="I45" s="105"/>
      <x:c r="J45" s="106" t="str">
        <x:f>IF(OR(H45="",I45="",H45=0),"",(I45-H45)/H45)</x:f>
      </x:c>
      <x:c r="K45" s="102"/>
      <x:c r="L45" s="102"/>
    </x:row>
    <x:row r="46" ht="44" customHeight="1">
      <x:c r="A46" s="102"/>
      <x:c r="B46" s="102"/>
      <x:c r="C46" s="102"/>
      <x:c r="D46" s="102"/>
      <x:c r="E46" s="102"/>
      <x:c r="F46" s="103"/>
      <x:c r="G46" s="104"/>
      <x:c r="H46" s="105"/>
      <x:c r="I46" s="105"/>
      <x:c r="J46" s="106" t="str">
        <x:f>IF(OR(H46="",I46="",H46=0),"",(I46-H46)/H46)</x:f>
      </x:c>
      <x:c r="K46" s="102"/>
      <x:c r="L46" s="102"/>
    </x:row>
    <x:row r="47" ht="44" customHeight="1">
      <x:c r="A47" s="102"/>
      <x:c r="B47" s="102"/>
      <x:c r="C47" s="102"/>
      <x:c r="D47" s="102"/>
      <x:c r="E47" s="102"/>
      <x:c r="F47" s="103"/>
      <x:c r="G47" s="104"/>
      <x:c r="H47" s="105"/>
      <x:c r="I47" s="105"/>
      <x:c r="J47" s="106" t="str">
        <x:f>IF(OR(H47="",I47="",H47=0),"",(I47-H47)/H47)</x:f>
      </x:c>
      <x:c r="K47" s="102"/>
      <x:c r="L47" s="102"/>
    </x:row>
    <x:row r="48" ht="44" customHeight="1">
      <x:c r="A48" s="102"/>
      <x:c r="B48" s="102"/>
      <x:c r="C48" s="102"/>
      <x:c r="D48" s="102"/>
      <x:c r="E48" s="102"/>
      <x:c r="F48" s="103"/>
      <x:c r="G48" s="104"/>
      <x:c r="H48" s="105"/>
      <x:c r="I48" s="105"/>
      <x:c r="J48" s="106" t="str">
        <x:f>IF(OR(H48="",I48="",H48=0),"",(I48-H48)/H48)</x:f>
      </x:c>
      <x:c r="K48" s="102"/>
      <x:c r="L48" s="102"/>
    </x:row>
    <x:row r="49" ht="44" customHeight="1">
      <x:c r="A49" s="102"/>
      <x:c r="B49" s="102"/>
      <x:c r="C49" s="102"/>
      <x:c r="D49" s="102"/>
      <x:c r="E49" s="102"/>
      <x:c r="F49" s="103"/>
      <x:c r="G49" s="104"/>
      <x:c r="H49" s="105"/>
      <x:c r="I49" s="105"/>
      <x:c r="J49" s="106" t="str">
        <x:f>IF(OR(H49="",I49="",H49=0),"",(I49-H49)/H49)</x:f>
      </x:c>
      <x:c r="K49" s="102"/>
      <x:c r="L49" s="102"/>
    </x:row>
    <x:row r="50" ht="44" customHeight="1">
      <x:c r="A50" s="102"/>
      <x:c r="B50" s="102"/>
      <x:c r="C50" s="102"/>
      <x:c r="D50" s="102"/>
      <x:c r="E50" s="102"/>
      <x:c r="F50" s="103"/>
      <x:c r="G50" s="104"/>
      <x:c r="H50" s="105"/>
      <x:c r="I50" s="105"/>
      <x:c r="J50" s="106" t="str">
        <x:f>IF(OR(H50="",I50="",H50=0),"",(I50-H50)/H50)</x:f>
      </x:c>
      <x:c r="K50" s="102"/>
      <x:c r="L50" s="102"/>
    </x:row>
    <x:row r="51" ht="44" customHeight="1">
      <x:c r="A51" s="102"/>
      <x:c r="B51" s="102"/>
      <x:c r="C51" s="102"/>
      <x:c r="D51" s="102"/>
      <x:c r="E51" s="102"/>
      <x:c r="F51" s="103"/>
      <x:c r="G51" s="104"/>
      <x:c r="H51" s="105"/>
      <x:c r="I51" s="105"/>
      <x:c r="J51" s="106" t="str">
        <x:f>IF(OR(H51="",I51="",H51=0),"",(I51-H51)/H51)</x:f>
      </x:c>
      <x:c r="K51" s="102"/>
      <x:c r="L51" s="102"/>
    </x:row>
    <x:row r="52" ht="44" customHeight="1">
      <x:c r="A52" s="102"/>
      <x:c r="B52" s="102"/>
      <x:c r="C52" s="102"/>
      <x:c r="D52" s="102"/>
      <x:c r="E52" s="102"/>
      <x:c r="F52" s="103"/>
      <x:c r="G52" s="104"/>
      <x:c r="H52" s="105"/>
      <x:c r="I52" s="105"/>
      <x:c r="J52" s="106" t="str">
        <x:f>IF(OR(H52="",I52="",H52=0),"",(I52-H52)/H52)</x:f>
      </x:c>
      <x:c r="K52" s="102"/>
      <x:c r="L52" s="102"/>
    </x:row>
    <x:row r="53" ht="44" customHeight="1">
      <x:c r="A53" s="102"/>
      <x:c r="B53" s="102"/>
      <x:c r="C53" s="102"/>
      <x:c r="D53" s="102"/>
      <x:c r="E53" s="102"/>
      <x:c r="F53" s="103"/>
      <x:c r="G53" s="104"/>
      <x:c r="H53" s="105"/>
      <x:c r="I53" s="105"/>
      <x:c r="J53" s="106" t="str">
        <x:f>IF(OR(H53="",I53="",H53=0),"",(I53-H53)/H53)</x:f>
      </x:c>
      <x:c r="K53" s="102"/>
      <x:c r="L53" s="102"/>
    </x:row>
    <x:row r="54" ht="44" customHeight="1">
      <x:c r="A54" s="102"/>
      <x:c r="B54" s="102"/>
      <x:c r="C54" s="102"/>
      <x:c r="D54" s="102"/>
      <x:c r="E54" s="102"/>
      <x:c r="F54" s="103"/>
      <x:c r="G54" s="104"/>
      <x:c r="H54" s="105"/>
      <x:c r="I54" s="105"/>
      <x:c r="J54" s="106" t="str">
        <x:f>IF(OR(H54="",I54="",H54=0),"",(I54-H54)/H54)</x:f>
      </x:c>
      <x:c r="K54" s="102"/>
      <x:c r="L54" s="102"/>
    </x:row>
    <x:row r="55" ht="44" customHeight="1">
      <x:c r="A55" s="102"/>
      <x:c r="B55" s="102"/>
      <x:c r="C55" s="102"/>
      <x:c r="D55" s="102"/>
      <x:c r="E55" s="102"/>
      <x:c r="F55" s="103"/>
      <x:c r="G55" s="104"/>
      <x:c r="H55" s="105"/>
      <x:c r="I55" s="105"/>
      <x:c r="J55" s="106" t="str">
        <x:f>IF(OR(H55="",I55="",H55=0),"",(I55-H55)/H55)</x:f>
      </x:c>
      <x:c r="K55" s="102"/>
      <x:c r="L55" s="102"/>
    </x:row>
    <x:row r="56" ht="44" customHeight="1">
      <x:c r="A56" s="102"/>
      <x:c r="B56" s="102"/>
      <x:c r="C56" s="102"/>
      <x:c r="D56" s="102"/>
      <x:c r="E56" s="102"/>
      <x:c r="F56" s="103"/>
      <x:c r="G56" s="104"/>
      <x:c r="H56" s="105"/>
      <x:c r="I56" s="105"/>
      <x:c r="J56" s="106" t="str">
        <x:f>IF(OR(H56="",I56="",H56=0),"",(I56-H56)/H56)</x:f>
      </x:c>
      <x:c r="K56" s="102"/>
      <x:c r="L56" s="102"/>
    </x:row>
    <x:row r="57" ht="44" customHeight="1">
      <x:c r="A57" s="102"/>
      <x:c r="B57" s="102"/>
      <x:c r="C57" s="102"/>
      <x:c r="D57" s="102"/>
      <x:c r="E57" s="102"/>
      <x:c r="F57" s="103"/>
      <x:c r="G57" s="104"/>
      <x:c r="H57" s="105"/>
      <x:c r="I57" s="105"/>
      <x:c r="J57" s="106" t="str">
        <x:f>IF(OR(H57="",I57="",H57=0),"",(I57-H57)/H57)</x:f>
      </x:c>
      <x:c r="K57" s="102"/>
      <x:c r="L57" s="102"/>
    </x:row>
    <x:row r="58" ht="44" customHeight="1">
      <x:c r="A58" s="102"/>
      <x:c r="B58" s="102"/>
      <x:c r="C58" s="102"/>
      <x:c r="D58" s="102"/>
      <x:c r="E58" s="102"/>
      <x:c r="F58" s="103"/>
      <x:c r="G58" s="104"/>
      <x:c r="H58" s="105"/>
      <x:c r="I58" s="105"/>
      <x:c r="J58" s="106" t="str">
        <x:f>IF(OR(H58="",I58="",H58=0),"",(I58-H58)/H58)</x:f>
      </x:c>
      <x:c r="K58" s="102"/>
      <x:c r="L58" s="102"/>
    </x:row>
    <x:row r="59" ht="44" customHeight="1">
      <x:c r="A59" s="102"/>
      <x:c r="B59" s="102"/>
      <x:c r="C59" s="102"/>
      <x:c r="D59" s="102"/>
      <x:c r="E59" s="102"/>
      <x:c r="F59" s="103"/>
      <x:c r="G59" s="104"/>
      <x:c r="H59" s="105"/>
      <x:c r="I59" s="105"/>
      <x:c r="J59" s="106" t="str">
        <x:f>IF(OR(H59="",I59="",H59=0),"",(I59-H59)/H59)</x:f>
      </x:c>
      <x:c r="K59" s="102"/>
      <x:c r="L59" s="102"/>
    </x:row>
    <x:row r="60" ht="44" customHeight="1">
      <x:c r="A60" s="102"/>
      <x:c r="B60" s="102"/>
      <x:c r="C60" s="102"/>
      <x:c r="D60" s="102"/>
      <x:c r="E60" s="102"/>
      <x:c r="F60" s="103"/>
      <x:c r="G60" s="104"/>
      <x:c r="H60" s="105"/>
      <x:c r="I60" s="105"/>
      <x:c r="J60" s="106" t="str">
        <x:f>IF(OR(H60="",I60="",H60=0),"",(I60-H60)/H60)</x:f>
      </x:c>
      <x:c r="K60" s="102"/>
      <x:c r="L60" s="102"/>
    </x:row>
    <x:row r="61" ht="44" customHeight="1">
      <x:c r="A61" s="102"/>
      <x:c r="B61" s="102"/>
      <x:c r="C61" s="102"/>
      <x:c r="D61" s="102"/>
      <x:c r="E61" s="102"/>
      <x:c r="F61" s="103"/>
      <x:c r="G61" s="104"/>
      <x:c r="H61" s="105"/>
      <x:c r="I61" s="105"/>
      <x:c r="J61" s="106" t="str">
        <x:f>IF(OR(H61="",I61="",H61=0),"",(I61-H61)/H61)</x:f>
      </x:c>
      <x:c r="K61" s="102"/>
      <x:c r="L61" s="102"/>
    </x:row>
    <x:row r="62" ht="44" customHeight="1">
      <x:c r="A62" s="102"/>
      <x:c r="B62" s="102"/>
      <x:c r="C62" s="102"/>
      <x:c r="D62" s="102"/>
      <x:c r="E62" s="102"/>
      <x:c r="F62" s="103"/>
      <x:c r="G62" s="104"/>
      <x:c r="H62" s="105"/>
      <x:c r="I62" s="105"/>
      <x:c r="J62" s="106" t="str">
        <x:f>IF(OR(H62="",I62="",H62=0),"",(I62-H62)/H62)</x:f>
      </x:c>
      <x:c r="K62" s="102"/>
      <x:c r="L62" s="102"/>
    </x:row>
    <x:row r="63" ht="44" customHeight="1">
      <x:c r="A63" s="102"/>
      <x:c r="B63" s="102"/>
      <x:c r="C63" s="102"/>
      <x:c r="D63" s="102"/>
      <x:c r="E63" s="102"/>
      <x:c r="F63" s="103"/>
      <x:c r="G63" s="104"/>
      <x:c r="H63" s="105"/>
      <x:c r="I63" s="105"/>
      <x:c r="J63" s="106" t="str">
        <x:f>IF(OR(H63="",I63="",H63=0),"",(I63-H63)/H63)</x:f>
      </x:c>
      <x:c r="K63" s="102"/>
      <x:c r="L63" s="102"/>
    </x:row>
    <x:row r="64" ht="44" customHeight="1">
      <x:c r="A64" s="102"/>
      <x:c r="B64" s="102"/>
      <x:c r="C64" s="102"/>
      <x:c r="D64" s="102"/>
      <x:c r="E64" s="102"/>
      <x:c r="F64" s="103"/>
      <x:c r="G64" s="104"/>
      <x:c r="H64" s="105"/>
      <x:c r="I64" s="105"/>
      <x:c r="J64" s="106" t="str">
        <x:f>IF(OR(H64="",I64="",H64=0),"",(I64-H64)/H64)</x:f>
      </x:c>
      <x:c r="K64" s="102"/>
      <x:c r="L64" s="102"/>
    </x:row>
    <x:row r="65" ht="44" customHeight="1">
      <x:c r="A65" s="102"/>
      <x:c r="B65" s="102"/>
      <x:c r="C65" s="102"/>
      <x:c r="D65" s="102"/>
      <x:c r="E65" s="102"/>
      <x:c r="F65" s="103"/>
      <x:c r="G65" s="104"/>
      <x:c r="H65" s="105"/>
      <x:c r="I65" s="105"/>
      <x:c r="J65" s="106" t="str">
        <x:f>IF(OR(H65="",I65="",H65=0),"",(I65-H65)/H65)</x:f>
      </x:c>
      <x:c r="K65" s="102"/>
      <x:c r="L65" s="102"/>
    </x:row>
    <x:row r="66" ht="44" customHeight="1">
      <x:c r="A66" s="102"/>
      <x:c r="B66" s="102"/>
      <x:c r="C66" s="102"/>
      <x:c r="D66" s="102"/>
      <x:c r="E66" s="102"/>
      <x:c r="F66" s="103"/>
      <x:c r="G66" s="104"/>
      <x:c r="H66" s="105"/>
      <x:c r="I66" s="105"/>
      <x:c r="J66" s="106" t="str">
        <x:f>IF(OR(H66="",I66="",H66=0),"",(I66-H66)/H66)</x:f>
      </x:c>
      <x:c r="K66" s="102"/>
      <x:c r="L66" s="102"/>
    </x:row>
    <x:row r="67" ht="44" customHeight="1">
      <x:c r="A67" s="102"/>
      <x:c r="B67" s="102"/>
      <x:c r="C67" s="102"/>
      <x:c r="D67" s="102"/>
      <x:c r="E67" s="102"/>
      <x:c r="F67" s="103"/>
      <x:c r="G67" s="104"/>
      <x:c r="H67" s="105"/>
      <x:c r="I67" s="105"/>
      <x:c r="J67" s="106" t="str">
        <x:f>IF(OR(H67="",I67="",H67=0),"",(I67-H67)/H67)</x:f>
      </x:c>
      <x:c r="K67" s="102"/>
      <x:c r="L67" s="102"/>
    </x:row>
    <x:row r="68" ht="44" customHeight="1">
      <x:c r="A68" s="102"/>
      <x:c r="B68" s="102"/>
      <x:c r="C68" s="102"/>
      <x:c r="D68" s="102"/>
      <x:c r="E68" s="102"/>
      <x:c r="F68" s="103"/>
      <x:c r="G68" s="104"/>
      <x:c r="H68" s="105"/>
      <x:c r="I68" s="105"/>
      <x:c r="J68" s="106" t="str">
        <x:f>IF(OR(H68="",I68="",H68=0),"",(I68-H68)/H68)</x:f>
      </x:c>
      <x:c r="K68" s="102"/>
      <x:c r="L68" s="102"/>
    </x:row>
    <x:row r="69" ht="44" customHeight="1">
      <x:c r="A69" s="102"/>
      <x:c r="B69" s="102"/>
      <x:c r="C69" s="102"/>
      <x:c r="D69" s="102"/>
      <x:c r="E69" s="102"/>
      <x:c r="F69" s="103"/>
      <x:c r="G69" s="104"/>
      <x:c r="H69" s="105"/>
      <x:c r="I69" s="105"/>
      <x:c r="J69" s="106" t="str">
        <x:f>IF(OR(H69="",I69="",H69=0),"",(I69-H69)/H69)</x:f>
      </x:c>
      <x:c r="K69" s="102"/>
      <x:c r="L69" s="102"/>
    </x:row>
    <x:row r="70" ht="44" customHeight="1">
      <x:c r="A70" s="102"/>
      <x:c r="B70" s="102"/>
      <x:c r="C70" s="102"/>
      <x:c r="D70" s="102"/>
      <x:c r="E70" s="102"/>
      <x:c r="F70" s="103"/>
      <x:c r="G70" s="104"/>
      <x:c r="H70" s="105"/>
      <x:c r="I70" s="105"/>
      <x:c r="J70" s="106" t="str">
        <x:f>IF(OR(H70="",I70="",H70=0),"",(I70-H70)/H70)</x:f>
      </x:c>
      <x:c r="K70" s="102"/>
      <x:c r="L70" s="102"/>
    </x:row>
    <x:row r="71" ht="44" customHeight="1">
      <x:c r="A71" s="102"/>
      <x:c r="B71" s="102"/>
      <x:c r="C71" s="102"/>
      <x:c r="D71" s="102"/>
      <x:c r="E71" s="102"/>
      <x:c r="F71" s="103"/>
      <x:c r="G71" s="104"/>
      <x:c r="H71" s="105"/>
      <x:c r="I71" s="105"/>
      <x:c r="J71" s="106" t="str">
        <x:f>IF(OR(H71="",I71="",H71=0),"",(I71-H71)/H71)</x:f>
      </x:c>
      <x:c r="K71" s="102"/>
      <x:c r="L71" s="102"/>
    </x:row>
    <x:row r="72" ht="44" customHeight="1">
      <x:c r="A72" s="102"/>
      <x:c r="B72" s="102"/>
      <x:c r="C72" s="102"/>
      <x:c r="D72" s="102"/>
      <x:c r="E72" s="102"/>
      <x:c r="F72" s="103"/>
      <x:c r="G72" s="104"/>
      <x:c r="H72" s="105"/>
      <x:c r="I72" s="105"/>
      <x:c r="J72" s="106" t="str">
        <x:f>IF(OR(H72="",I72="",H72=0),"",(I72-H72)/H72)</x:f>
      </x:c>
      <x:c r="K72" s="102"/>
      <x:c r="L72" s="102"/>
    </x:row>
    <x:row r="73" ht="44" customHeight="1">
      <x:c r="A73" s="102"/>
      <x:c r="B73" s="102"/>
      <x:c r="C73" s="102"/>
      <x:c r="D73" s="102"/>
      <x:c r="E73" s="102"/>
      <x:c r="F73" s="103"/>
      <x:c r="G73" s="104"/>
      <x:c r="H73" s="105"/>
      <x:c r="I73" s="105"/>
      <x:c r="J73" s="106" t="str">
        <x:f>IF(OR(H73="",I73="",H73=0),"",(I73-H73)/H73)</x:f>
      </x:c>
      <x:c r="K73" s="102"/>
      <x:c r="L73" s="102"/>
    </x:row>
    <x:row r="74" ht="44" customHeight="1">
      <x:c r="A74" s="102"/>
      <x:c r="B74" s="102"/>
      <x:c r="C74" s="102"/>
      <x:c r="D74" s="102"/>
      <x:c r="E74" s="102"/>
      <x:c r="F74" s="103"/>
      <x:c r="G74" s="104"/>
      <x:c r="H74" s="105"/>
      <x:c r="I74" s="105"/>
      <x:c r="J74" s="106" t="str">
        <x:f>IF(OR(H74="",I74="",H74=0),"",(I74-H74)/H74)</x:f>
      </x:c>
      <x:c r="K74" s="102"/>
      <x:c r="L74" s="102"/>
    </x:row>
    <x:row r="75" ht="44" customHeight="1">
      <x:c r="A75" s="102"/>
      <x:c r="B75" s="102"/>
      <x:c r="C75" s="102"/>
      <x:c r="D75" s="102"/>
      <x:c r="E75" s="102"/>
      <x:c r="F75" s="103"/>
      <x:c r="G75" s="104"/>
      <x:c r="H75" s="105"/>
      <x:c r="I75" s="105"/>
      <x:c r="J75" s="106" t="str">
        <x:f>IF(OR(H75="",I75="",H75=0),"",(I75-H75)/H75)</x:f>
      </x:c>
      <x:c r="K75" s="102"/>
      <x:c r="L75" s="102"/>
    </x:row>
    <x:row r="76" ht="44" customHeight="1">
      <x:c r="A76" s="102"/>
      <x:c r="B76" s="102"/>
      <x:c r="C76" s="102"/>
      <x:c r="D76" s="102"/>
      <x:c r="E76" s="102"/>
      <x:c r="F76" s="103"/>
      <x:c r="G76" s="104"/>
      <x:c r="H76" s="105"/>
      <x:c r="I76" s="105"/>
      <x:c r="J76" s="106" t="str">
        <x:f>IF(OR(H76="",I76="",H76=0),"",(I76-H76)/H76)</x:f>
      </x:c>
      <x:c r="K76" s="102"/>
      <x:c r="L76" s="102"/>
    </x:row>
    <x:row r="77" ht="44" customHeight="1">
      <x:c r="A77" s="102"/>
      <x:c r="B77" s="102"/>
      <x:c r="C77" s="102"/>
      <x:c r="D77" s="102"/>
      <x:c r="E77" s="102"/>
      <x:c r="F77" s="103"/>
      <x:c r="G77" s="104"/>
      <x:c r="H77" s="105"/>
      <x:c r="I77" s="105"/>
      <x:c r="J77" s="106" t="str">
        <x:f>IF(OR(H77="",I77="",H77=0),"",(I77-H77)/H77)</x:f>
      </x:c>
      <x:c r="K77" s="102"/>
      <x:c r="L77" s="102"/>
    </x:row>
    <x:row r="78" ht="44" customHeight="1">
      <x:c r="A78" s="102"/>
      <x:c r="B78" s="102"/>
      <x:c r="C78" s="102"/>
      <x:c r="D78" s="102"/>
      <x:c r="E78" s="102"/>
      <x:c r="F78" s="103"/>
      <x:c r="G78" s="104"/>
      <x:c r="H78" s="105"/>
      <x:c r="I78" s="105"/>
      <x:c r="J78" s="106" t="str">
        <x:f>IF(OR(H78="",I78="",H78=0),"",(I78-H78)/H78)</x:f>
      </x:c>
      <x:c r="K78" s="102"/>
      <x:c r="L78" s="102"/>
    </x:row>
    <x:row r="79" ht="44" customHeight="1">
      <x:c r="A79" s="102"/>
      <x:c r="B79" s="102"/>
      <x:c r="C79" s="102"/>
      <x:c r="D79" s="102"/>
      <x:c r="E79" s="102"/>
      <x:c r="F79" s="103"/>
      <x:c r="G79" s="104"/>
      <x:c r="H79" s="105"/>
      <x:c r="I79" s="105"/>
      <x:c r="J79" s="106" t="str">
        <x:f>IF(OR(H79="",I79="",H79=0),"",(I79-H79)/H79)</x:f>
      </x:c>
      <x:c r="K79" s="102"/>
      <x:c r="L79" s="102"/>
    </x:row>
    <x:row r="80" ht="44" customHeight="1">
      <x:c r="A80" s="102"/>
      <x:c r="B80" s="102"/>
      <x:c r="C80" s="102"/>
      <x:c r="D80" s="102"/>
      <x:c r="E80" s="102"/>
      <x:c r="F80" s="103"/>
      <x:c r="G80" s="104"/>
      <x:c r="H80" s="105"/>
      <x:c r="I80" s="105"/>
      <x:c r="J80" s="106" t="str">
        <x:f>IF(OR(H80="",I80="",H80=0),"",(I80-H80)/H80)</x:f>
      </x:c>
      <x:c r="K80" s="102"/>
      <x:c r="L80" s="102"/>
    </x:row>
    <x:row r="81" ht="44" customHeight="1">
      <x:c r="A81" s="102"/>
      <x:c r="B81" s="102"/>
      <x:c r="C81" s="102"/>
      <x:c r="D81" s="102"/>
      <x:c r="E81" s="102"/>
      <x:c r="F81" s="103"/>
      <x:c r="G81" s="104"/>
      <x:c r="H81" s="105"/>
      <x:c r="I81" s="105"/>
      <x:c r="J81" s="106" t="str">
        <x:f>IF(OR(H81="",I81="",H81=0),"",(I81-H81)/H81)</x:f>
      </x:c>
      <x:c r="K81" s="102"/>
      <x:c r="L81" s="102"/>
    </x:row>
    <x:row r="82" ht="44" customHeight="1">
      <x:c r="A82" s="102"/>
      <x:c r="B82" s="102"/>
      <x:c r="C82" s="102"/>
      <x:c r="D82" s="102"/>
      <x:c r="E82" s="102"/>
      <x:c r="F82" s="103"/>
      <x:c r="G82" s="104"/>
      <x:c r="H82" s="105"/>
      <x:c r="I82" s="105"/>
      <x:c r="J82" s="106" t="str">
        <x:f>IF(OR(H82="",I82="",H82=0),"",(I82-H82)/H82)</x:f>
      </x:c>
      <x:c r="K82" s="102"/>
      <x:c r="L82" s="102"/>
    </x:row>
    <x:row r="83" ht="44" customHeight="1">
      <x:c r="A83" s="102"/>
      <x:c r="B83" s="102"/>
      <x:c r="C83" s="102"/>
      <x:c r="D83" s="102"/>
      <x:c r="E83" s="102"/>
      <x:c r="F83" s="103"/>
      <x:c r="G83" s="104"/>
      <x:c r="H83" s="105"/>
      <x:c r="I83" s="105"/>
      <x:c r="J83" s="106" t="str">
        <x:f>IF(OR(H83="",I83="",H83=0),"",(I83-H83)/H83)</x:f>
      </x:c>
      <x:c r="K83" s="102"/>
      <x:c r="L83" s="102"/>
    </x:row>
    <x:row r="84" ht="44" customHeight="1">
      <x:c r="A84" s="102"/>
      <x:c r="B84" s="102"/>
      <x:c r="C84" s="102"/>
      <x:c r="D84" s="102"/>
      <x:c r="E84" s="102"/>
      <x:c r="F84" s="103"/>
      <x:c r="G84" s="104"/>
      <x:c r="H84" s="105"/>
      <x:c r="I84" s="105"/>
      <x:c r="J84" s="106" t="str">
        <x:f>IF(OR(H84="",I84="",H84=0),"",(I84-H84)/H84)</x:f>
      </x:c>
      <x:c r="K84" s="102"/>
      <x:c r="L84" s="102"/>
    </x:row>
    <x:row r="85" ht="44" customHeight="1">
      <x:c r="A85" s="102"/>
      <x:c r="B85" s="102"/>
      <x:c r="C85" s="102"/>
      <x:c r="D85" s="102"/>
      <x:c r="E85" s="102"/>
      <x:c r="F85" s="103"/>
      <x:c r="G85" s="104"/>
      <x:c r="H85" s="105"/>
      <x:c r="I85" s="105"/>
      <x:c r="J85" s="106" t="str">
        <x:f>IF(OR(H85="",I85="",H85=0),"",(I85-H85)/H85)</x:f>
      </x:c>
      <x:c r="K85" s="102"/>
      <x:c r="L85" s="102"/>
    </x:row>
    <x:row r="86" ht="44" customHeight="1">
      <x:c r="A86" s="102"/>
      <x:c r="B86" s="102"/>
      <x:c r="C86" s="102"/>
      <x:c r="D86" s="102"/>
      <x:c r="E86" s="102"/>
      <x:c r="F86" s="103"/>
      <x:c r="G86" s="104"/>
      <x:c r="H86" s="105"/>
      <x:c r="I86" s="105"/>
      <x:c r="J86" s="106" t="str">
        <x:f>IF(OR(H86="",I86="",H86=0),"",(I86-H86)/H86)</x:f>
      </x:c>
      <x:c r="K86" s="102"/>
      <x:c r="L86" s="102"/>
    </x:row>
    <x:row r="87" ht="44" customHeight="1">
      <x:c r="A87" s="102"/>
      <x:c r="B87" s="102"/>
      <x:c r="C87" s="102"/>
      <x:c r="D87" s="102"/>
      <x:c r="E87" s="102"/>
      <x:c r="F87" s="103"/>
      <x:c r="G87" s="104"/>
      <x:c r="H87" s="105"/>
      <x:c r="I87" s="105"/>
      <x:c r="J87" s="106" t="str">
        <x:f>IF(OR(H87="",I87="",H87=0),"",(I87-H87)/H87)</x:f>
      </x:c>
      <x:c r="K87" s="102"/>
      <x:c r="L87" s="102"/>
    </x:row>
    <x:row r="88" ht="44" customHeight="1">
      <x:c r="A88" s="102"/>
      <x:c r="B88" s="102"/>
      <x:c r="C88" s="102"/>
      <x:c r="D88" s="102"/>
      <x:c r="E88" s="102"/>
      <x:c r="F88" s="103"/>
      <x:c r="G88" s="104"/>
      <x:c r="H88" s="105"/>
      <x:c r="I88" s="105"/>
      <x:c r="J88" s="106" t="str">
        <x:f>IF(OR(H88="",I88="",H88=0),"",(I88-H88)/H88)</x:f>
      </x:c>
      <x:c r="K88" s="102"/>
      <x:c r="L88" s="102"/>
    </x:row>
    <x:row r="89" ht="44" customHeight="1">
      <x:c r="A89" s="102"/>
      <x:c r="B89" s="102"/>
      <x:c r="C89" s="102"/>
      <x:c r="D89" s="102"/>
      <x:c r="E89" s="102"/>
      <x:c r="F89" s="103"/>
      <x:c r="G89" s="104"/>
      <x:c r="H89" s="105"/>
      <x:c r="I89" s="105"/>
      <x:c r="J89" s="106" t="str">
        <x:f>IF(OR(H89="",I89="",H89=0),"",(I89-H89)/H89)</x:f>
      </x:c>
      <x:c r="K89" s="102"/>
      <x:c r="L89" s="102"/>
    </x:row>
    <x:row r="90" ht="44" customHeight="1">
      <x:c r="A90" s="102"/>
      <x:c r="B90" s="102"/>
      <x:c r="C90" s="102"/>
      <x:c r="D90" s="102"/>
      <x:c r="E90" s="102"/>
      <x:c r="F90" s="103"/>
      <x:c r="G90" s="104"/>
      <x:c r="H90" s="105"/>
      <x:c r="I90" s="105"/>
      <x:c r="J90" s="106" t="str">
        <x:f>IF(OR(H90="",I90="",H90=0),"",(I90-H90)/H90)</x:f>
      </x:c>
      <x:c r="K90" s="102"/>
      <x:c r="L90" s="102"/>
    </x:row>
    <x:row r="91" ht="44" customHeight="1">
      <x:c r="A91" s="102"/>
      <x:c r="B91" s="102"/>
      <x:c r="C91" s="102"/>
      <x:c r="D91" s="102"/>
      <x:c r="E91" s="102"/>
      <x:c r="F91" s="103"/>
      <x:c r="G91" s="104"/>
      <x:c r="H91" s="105"/>
      <x:c r="I91" s="105"/>
      <x:c r="J91" s="106" t="str">
        <x:f>IF(OR(H91="",I91="",H91=0),"",(I91-H91)/H91)</x:f>
      </x:c>
      <x:c r="K91" s="102"/>
      <x:c r="L91" s="102"/>
    </x:row>
    <x:row r="92" ht="44" customHeight="1">
      <x:c r="A92" s="102"/>
      <x:c r="B92" s="102"/>
      <x:c r="C92" s="102"/>
      <x:c r="D92" s="102"/>
      <x:c r="E92" s="102"/>
      <x:c r="F92" s="103"/>
      <x:c r="G92" s="104"/>
      <x:c r="H92" s="105"/>
      <x:c r="I92" s="105"/>
      <x:c r="J92" s="106" t="str">
        <x:f>IF(OR(H92="",I92="",H92=0),"",(I92-H92)/H92)</x:f>
      </x:c>
      <x:c r="K92" s="102"/>
      <x:c r="L92" s="102"/>
    </x:row>
    <x:row r="93" ht="44" customHeight="1">
      <x:c r="A93" s="102"/>
      <x:c r="B93" s="102"/>
      <x:c r="C93" s="102"/>
      <x:c r="D93" s="102"/>
      <x:c r="E93" s="102"/>
      <x:c r="F93" s="103"/>
      <x:c r="G93" s="104"/>
      <x:c r="H93" s="105"/>
      <x:c r="I93" s="105"/>
      <x:c r="J93" s="106" t="str">
        <x:f>IF(OR(H93="",I93="",H93=0),"",(I93-H93)/H93)</x:f>
      </x:c>
      <x:c r="K93" s="102"/>
      <x:c r="L93" s="102"/>
    </x:row>
    <x:row r="94" ht="44" customHeight="1">
      <x:c r="A94" s="102"/>
      <x:c r="B94" s="102"/>
      <x:c r="C94" s="102"/>
      <x:c r="D94" s="102"/>
      <x:c r="E94" s="102"/>
      <x:c r="F94" s="103"/>
      <x:c r="G94" s="104"/>
      <x:c r="H94" s="105"/>
      <x:c r="I94" s="105"/>
      <x:c r="J94" s="106" t="str">
        <x:f>IF(OR(H94="",I94="",H94=0),"",(I94-H94)/H94)</x:f>
      </x:c>
      <x:c r="K94" s="102"/>
      <x:c r="L94" s="102"/>
    </x:row>
    <x:row r="95" ht="44" customHeight="1">
      <x:c r="A95" s="102"/>
      <x:c r="B95" s="102"/>
      <x:c r="C95" s="102"/>
      <x:c r="D95" s="102"/>
      <x:c r="E95" s="102"/>
      <x:c r="F95" s="103"/>
      <x:c r="G95" s="104"/>
      <x:c r="H95" s="105"/>
      <x:c r="I95" s="105"/>
      <x:c r="J95" s="106" t="str">
        <x:f>IF(OR(H95="",I95="",H95=0),"",(I95-H95)/H95)</x:f>
      </x:c>
      <x:c r="K95" s="102"/>
      <x:c r="L95" s="102"/>
    </x:row>
    <x:row r="96" ht="44" customHeight="1">
      <x:c r="A96" s="102"/>
      <x:c r="B96" s="102"/>
      <x:c r="C96" s="102"/>
      <x:c r="D96" s="102"/>
      <x:c r="E96" s="102"/>
      <x:c r="F96" s="103"/>
      <x:c r="G96" s="104"/>
      <x:c r="H96" s="105"/>
      <x:c r="I96" s="105"/>
      <x:c r="J96" s="106" t="str">
        <x:f>IF(OR(H96="",I96="",H96=0),"",(I96-H96)/H96)</x:f>
      </x:c>
      <x:c r="K96" s="102"/>
      <x:c r="L96" s="102"/>
    </x:row>
    <x:row r="97" ht="44" customHeight="1">
      <x:c r="A97" s="102"/>
      <x:c r="B97" s="102"/>
      <x:c r="C97" s="102"/>
      <x:c r="D97" s="102"/>
      <x:c r="E97" s="102"/>
      <x:c r="F97" s="103"/>
      <x:c r="G97" s="104"/>
      <x:c r="H97" s="105"/>
      <x:c r="I97" s="105"/>
      <x:c r="J97" s="106" t="str">
        <x:f>IF(OR(H97="",I97="",H97=0),"",(I97-H97)/H97)</x:f>
      </x:c>
      <x:c r="K97" s="102"/>
      <x:c r="L97" s="102"/>
    </x:row>
    <x:row r="98" ht="44" customHeight="1">
      <x:c r="A98" s="102"/>
      <x:c r="B98" s="102"/>
      <x:c r="C98" s="102"/>
      <x:c r="D98" s="102"/>
      <x:c r="E98" s="102"/>
      <x:c r="F98" s="103"/>
      <x:c r="G98" s="104"/>
      <x:c r="H98" s="105"/>
      <x:c r="I98" s="105"/>
      <x:c r="J98" s="106" t="str">
        <x:f>IF(OR(H98="",I98="",H98=0),"",(I98-H98)/H98)</x:f>
      </x:c>
      <x:c r="K98" s="102"/>
      <x:c r="L98" s="102"/>
    </x:row>
    <x:row r="99" ht="44" customHeight="1">
      <x:c r="A99" s="102"/>
      <x:c r="B99" s="102"/>
      <x:c r="C99" s="102"/>
      <x:c r="D99" s="102"/>
      <x:c r="E99" s="102"/>
      <x:c r="F99" s="103"/>
      <x:c r="G99" s="104"/>
      <x:c r="H99" s="105"/>
      <x:c r="I99" s="105"/>
      <x:c r="J99" s="106" t="str">
        <x:f>IF(OR(H99="",I99="",H99=0),"",(I99-H99)/H99)</x:f>
      </x:c>
      <x:c r="K99" s="102"/>
      <x:c r="L99" s="102"/>
    </x:row>
    <x:row r="100" ht="44" customHeight="1">
      <x:c r="A100" s="102"/>
      <x:c r="B100" s="102"/>
      <x:c r="C100" s="102"/>
      <x:c r="D100" s="102"/>
      <x:c r="E100" s="102"/>
      <x:c r="F100" s="103"/>
      <x:c r="G100" s="104"/>
      <x:c r="H100" s="105"/>
      <x:c r="I100" s="105"/>
      <x:c r="J100" s="106" t="str">
        <x:f>IF(OR(H100="",I100="",H100=0),"",(I100-H100)/H100)</x:f>
      </x:c>
      <x:c r="K100" s="102"/>
      <x:c r="L100" s="102"/>
    </x:row>
    <x:row r="101" ht="44" customHeight="1">
      <x:c r="A101" s="102"/>
      <x:c r="B101" s="102"/>
      <x:c r="C101" s="102"/>
      <x:c r="D101" s="102"/>
      <x:c r="E101" s="102"/>
      <x:c r="F101" s="103"/>
      <x:c r="G101" s="104"/>
      <x:c r="H101" s="105"/>
      <x:c r="I101" s="105"/>
      <x:c r="J101" s="106" t="str">
        <x:f>IF(OR(H101="",I101="",H101=0),"",(I101-H101)/H101)</x:f>
      </x:c>
      <x:c r="K101" s="102"/>
      <x:c r="L101" s="102"/>
    </x:row>
    <x:row r="102" ht="44" customHeight="1">
      <x:c r="A102" s="102"/>
      <x:c r="B102" s="102"/>
      <x:c r="C102" s="102"/>
      <x:c r="D102" s="102"/>
      <x:c r="E102" s="102"/>
      <x:c r="F102" s="103"/>
      <x:c r="G102" s="104"/>
      <x:c r="H102" s="105"/>
      <x:c r="I102" s="105"/>
      <x:c r="J102" s="106" t="str">
        <x:f>IF(OR(H102="",I102="",H102=0),"",(I102-H102)/H102)</x:f>
      </x:c>
      <x:c r="K102" s="102"/>
      <x:c r="L102" s="102"/>
    </x:row>
    <x:row r="103" ht="44" customHeight="1">
      <x:c r="A103" s="102"/>
      <x:c r="B103" s="102"/>
      <x:c r="C103" s="102"/>
      <x:c r="D103" s="102"/>
      <x:c r="E103" s="102"/>
      <x:c r="F103" s="103"/>
      <x:c r="G103" s="104"/>
      <x:c r="H103" s="105"/>
      <x:c r="I103" s="105"/>
      <x:c r="J103" s="106" t="str">
        <x:f>IF(OR(H103="",I103="",H103=0),"",(I103-H103)/H103)</x:f>
      </x:c>
      <x:c r="K103" s="102"/>
      <x:c r="L103" s="102"/>
    </x:row>
    <x:row r="104" ht="44" customHeight="1">
      <x:c r="A104" s="102"/>
      <x:c r="B104" s="102"/>
      <x:c r="C104" s="102"/>
      <x:c r="D104" s="102"/>
      <x:c r="E104" s="102"/>
      <x:c r="F104" s="103"/>
      <x:c r="G104" s="104"/>
      <x:c r="H104" s="105"/>
      <x:c r="I104" s="105"/>
      <x:c r="J104" s="106" t="str">
        <x:f>IF(OR(H104="",I104="",H104=0),"",(I104-H104)/H104)</x:f>
      </x:c>
      <x:c r="K104" s="102"/>
      <x:c r="L104" s="102"/>
    </x:row>
    <x:row r="105" ht="44" customHeight="1">
      <x:c r="A105" s="102"/>
      <x:c r="B105" s="102"/>
      <x:c r="C105" s="102"/>
      <x:c r="D105" s="102"/>
      <x:c r="E105" s="102"/>
      <x:c r="F105" s="103"/>
      <x:c r="G105" s="104"/>
      <x:c r="H105" s="105"/>
      <x:c r="I105" s="105"/>
      <x:c r="J105" s="106" t="str">
        <x:f>IF(OR(H105="",I105="",H105=0),"",(I105-H105)/H105)</x:f>
      </x:c>
      <x:c r="K105" s="102"/>
      <x:c r="L105" s="102"/>
    </x:row>
    <x:row r="106" ht="44" customHeight="1">
      <x:c r="A106" s="107"/>
      <x:c r="B106" s="107"/>
      <x:c r="C106" s="107"/>
      <x:c r="D106" s="107"/>
      <x:c r="E106" s="107"/>
      <x:c r="F106" s="108"/>
      <x:c r="G106" s="109"/>
      <x:c r="H106" s="110"/>
      <x:c r="I106" s="110"/>
      <x:c r="J106" s="111" t="str">
        <x:f>IF(OR(H106="",I106="",H106=0),"",(I106-H106)/H106)</x:f>
      </x:c>
      <x:c r="K106" s="107"/>
      <x:c r="L106" s="107"/>
    </x:row>
  </x:sheetData>
  <x:mergeCells>
    <x:mergeCell ref="A1:L2"/>
    <x:mergeCell ref="A3:L4"/>
  </x:mergeCells>
  <x:conditionalFormatting sqref="E7:E106">
    <x:cfRule type="containsText" dxfId="0" priority="1" operator="containsText" text="Готово"/>
    <x:cfRule type="containsText" dxfId="1" priority="2" operator="containsText" text="Нужно решение"/>
    <x:cfRule type="containsText" dxfId="2" priority="3" operator="containsText" text="В работе"/>
  </x:conditionalFormatting>
  <x:conditionalFormatting sqref="F7:F106">
    <x:cfRule type="expression" dxfId="3" priority="4">
      <x:formula>AND($F7&lt;&gt;"",$F7&lt;TODAY(),$E7&lt;&gt;"Готово",$C7&lt;&gt;"")</x:formula>
    </x:cfRule>
  </x:conditionalFormatting>
  <x:dataValidations count="2">
    <x:dataValidation type="list" sqref="B7:B106">
      <x:formula1>"Карты,Отзывы,Публикации,Партнёрства,Повторные касания"</x:formula1>
    </x:dataValidation>
    <x:dataValidation type="list" sqref="E7:E106">
      <x:formula1>"Не начато,В работе,Нужно решение,Готово"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270966ce2742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94" t="str">
        <x:v>Как пользоваться таблицей</x:v>
      </x:c>
      <x:c r="B1" s="94"/>
      <x:c r="C1" s="94"/>
      <x:c r="D1" s="94"/>
      <x:c r="E1" s="94"/>
      <x:c r="F1" s="94"/>
    </x:row>
    <x:row r="2">
      <x:c r="A2" s="94"/>
      <x:c r="B2" s="94"/>
      <x:c r="C2" s="94"/>
      <x:c r="D2" s="94"/>
      <x:c r="E2" s="94"/>
      <x:c r="F2" s="94"/>
    </x:row>
    <x:row r="3">
      <x:c r="A3" s="43"/>
      <x:c r="B3" s="43"/>
      <x:c r="C3" s="43"/>
      <x:c r="D3" s="43"/>
      <x:c r="E3" s="43"/>
      <x:c r="F3" s="43"/>
    </x:row>
    <x:row r="4" ht="42" customHeight="1">
      <x:c r="A4" s="130" t="str">
        <x:v>1</x:v>
      </x:c>
      <x:c r="B4" s="131" t="str">
        <x:v>В начале недели добавьте повторяющиеся задачи и назначьте ответственного.</x:v>
      </x:c>
      <x:c r="C4" s="43"/>
      <x:c r="D4" s="43"/>
      <x:c r="E4" s="43"/>
      <x:c r="F4" s="43"/>
    </x:row>
    <x:row r="5" ht="42" customHeight="1">
      <x:c r="A5" s="130" t="str">
        <x:v>2</x:v>
      </x:c>
      <x:c r="B5" s="132" t="str">
        <x:v>Поставьте плановую дату. Просроченные задачи подсветятся автоматически.</x:v>
      </x:c>
      <x:c r="C5" s="43"/>
      <x:c r="D5" s="43"/>
      <x:c r="E5" s="43"/>
      <x:c r="F5" s="43"/>
    </x:row>
    <x:row r="6" ht="42" customHeight="1">
      <x:c r="A6" s="130" t="str">
        <x:v>3</x:v>
      </x:c>
      <x:c r="B6" s="132" t="str">
        <x:v>Меняйте статус по ходу работы. «Нужно решение» оставляйте только для владельца.</x:v>
      </x:c>
      <x:c r="C6" s="43"/>
      <x:c r="D6" s="43"/>
      <x:c r="E6" s="43"/>
      <x:c r="F6" s="43"/>
    </x:row>
    <x:row r="7" ht="42" customHeight="1">
      <x:c r="A7" s="130" t="str">
        <x:v>4</x:v>
      </x:c>
      <x:c r="B7" s="132" t="str">
        <x:v>Если есть измеримая метрика, заполните значения до и после — изменение посчитается само.</x:v>
      </x:c>
      <x:c r="C7" s="43"/>
      <x:c r="D7" s="43"/>
      <x:c r="E7" s="43"/>
      <x:c r="F7" s="43"/>
    </x:row>
    <x:row r="8" ht="42" customHeight="1">
      <x:c r="A8" s="130" t="str">
        <x:v>5</x:v>
      </x:c>
      <x:c r="B8" s="132" t="str">
        <x:v>В конце недели откройте «Сводку» и выберите следующий шаг по каждому направлению.</x:v>
      </x:c>
      <x:c r="C8" s="43"/>
      <x:c r="D8" s="43"/>
      <x:c r="E8" s="43"/>
      <x:c r="F8" s="43"/>
    </x:row>
    <x:row r="9" ht="42" customHeight="1">
      <x:c r="A9" s="130" t="str">
        <x:v>6</x:v>
      </x:c>
      <x:c r="B9" s="133" t="str">
        <x:v>Добавляйте строки, но сохраняйте пять направлений: карты, отзывы, публикации, партнёрства и повторные касания.</x:v>
      </x:c>
      <x:c r="C9" s="43"/>
      <x:c r="D9" s="43"/>
      <x:c r="E9" s="43"/>
      <x:c r="F9" s="43"/>
    </x:row>
    <x:row r="10">
      <x:c r="A10" s="43"/>
      <x:c r="B10" s="43"/>
      <x:c r="C10" s="43"/>
      <x:c r="D10" s="43"/>
      <x:c r="E10" s="43"/>
      <x:c r="F10" s="43"/>
    </x:row>
    <x:row r="11">
      <x:c r="A11" s="43"/>
      <x:c r="B11" s="43"/>
      <x:c r="C11" s="43"/>
      <x:c r="D11" s="43"/>
      <x:c r="E11" s="43"/>
      <x:c r="F11" s="43"/>
    </x:row>
    <x:row r="12">
      <x:c r="A12" s="134" t="str">
        <x:v>Что считать метрикой</x:v>
      </x:c>
      <x:c r="B12" s="134"/>
      <x:c r="C12" s="134"/>
      <x:c r="D12" s="134"/>
      <x:c r="E12" s="134"/>
      <x:c r="F12" s="134"/>
    </x:row>
    <x:row r="13">
      <x:c r="A13" s="135" t="str">
        <x:v>Карты</x:v>
      </x:c>
      <x:c r="B13" s="135" t="str">
        <x:v>Переходы в карточку, звонки, маршруты, записи</x:v>
      </x:c>
      <x:c r="C13" s="135"/>
      <x:c r="D13" s="135"/>
      <x:c r="E13" s="135"/>
      <x:c r="F13" s="135"/>
    </x:row>
    <x:row r="14">
      <x:c r="A14" s="136" t="str">
        <x:v>Отзывы</x:v>
      </x:c>
      <x:c r="B14" s="136" t="str">
        <x:v>Новые отзывы, доля ответов, средний рейтинг</x:v>
      </x:c>
      <x:c r="C14" s="136"/>
      <x:c r="D14" s="136"/>
      <x:c r="E14" s="136"/>
      <x:c r="F14" s="136"/>
    </x:row>
    <x:row r="15">
      <x:c r="A15" s="136" t="str">
        <x:v>Публикации</x:v>
      </x:c>
      <x:c r="B15" s="136" t="str">
        <x:v>Просмотры, переходы, обращения по теме</x:v>
      </x:c>
      <x:c r="C15" s="136"/>
      <x:c r="D15" s="136"/>
      <x:c r="E15" s="136"/>
      <x:c r="F15" s="136"/>
    </x:row>
    <x:row r="16">
      <x:c r="A16" s="136" t="str">
        <x:v>Партнёрства</x:v>
      </x:c>
      <x:c r="B16" s="136" t="str">
        <x:v>Контакты, ответы, договорённости, совместные обращения</x:v>
      </x:c>
      <x:c r="C16" s="136"/>
      <x:c r="D16" s="136"/>
      <x:c r="E16" s="136"/>
      <x:c r="F16" s="136"/>
    </x:row>
    <x:row r="17">
      <x:c r="A17" s="137" t="str">
        <x:v>Повторные касания</x:v>
      </x:c>
      <x:c r="B17" s="137" t="str">
        <x:v>Возвраты, повторные записи, выручка от вернувшихся клиентов</x:v>
      </x:c>
      <x:c r="C17" s="137"/>
      <x:c r="D17" s="137"/>
      <x:c r="E17" s="137"/>
      <x:c r="F17" s="137"/>
    </x:row>
  </x:sheetData>
  <x:mergeCells>
    <x:mergeCell ref="A1:F2"/>
    <x:mergeCell ref="A12:F12"/>
  </x:mergeCells>
  <x:pageMargins left="0.7" right="0.7" top="0.75" bottom="0.75" header="0.3" footer="0.3"/>
</x:worksheet>
</file>